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\Documents\"/>
    </mc:Choice>
  </mc:AlternateContent>
  <xr:revisionPtr revIDLastSave="0" documentId="13_ncr:1_{7FB1D4FE-5196-4E0B-BFFF-943FBE60897D}" xr6:coauthVersionLast="47" xr6:coauthVersionMax="47" xr10:uidLastSave="{00000000-0000-0000-0000-000000000000}"/>
  <bookViews>
    <workbookView xWindow="-93" yWindow="-93" windowWidth="25786" windowHeight="13866" activeTab="3" xr2:uid="{FA0E1F60-FDE8-4B1B-B207-153282F6AB0E}"/>
  </bookViews>
  <sheets>
    <sheet name="Basics" sheetId="1" r:id="rId1"/>
    <sheet name="SamplePrep" sheetId="3" r:id="rId2"/>
    <sheet name="Dilutions" sheetId="6" r:id="rId3"/>
    <sheet name="Analytes" sheetId="5" r:id="rId4"/>
    <sheet name="AddOn CheckList" sheetId="7" r:id="rId5"/>
    <sheet name="Hidden_Lis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7" l="1"/>
  <c r="C22" i="7"/>
  <c r="D22" i="7"/>
  <c r="E22" i="7"/>
  <c r="F22" i="7"/>
  <c r="G22" i="7"/>
  <c r="B23" i="7"/>
  <c r="C23" i="7"/>
  <c r="D23" i="7"/>
  <c r="E23" i="7"/>
  <c r="F23" i="7"/>
  <c r="G23" i="7"/>
  <c r="B24" i="7"/>
  <c r="C24" i="7"/>
  <c r="D24" i="7"/>
  <c r="E24" i="7"/>
  <c r="F24" i="7"/>
  <c r="G24" i="7"/>
  <c r="B25" i="7"/>
  <c r="C25" i="7"/>
  <c r="D25" i="7"/>
  <c r="E25" i="7"/>
  <c r="F25" i="7"/>
  <c r="G25" i="7"/>
  <c r="B26" i="7"/>
  <c r="C26" i="7"/>
  <c r="D26" i="7"/>
  <c r="E26" i="7"/>
  <c r="F26" i="7"/>
  <c r="G26" i="7"/>
  <c r="B27" i="7"/>
  <c r="C27" i="7"/>
  <c r="D27" i="7"/>
  <c r="E27" i="7"/>
  <c r="F27" i="7"/>
  <c r="G27" i="7"/>
  <c r="B28" i="7"/>
  <c r="C28" i="7"/>
  <c r="D28" i="7"/>
  <c r="E28" i="7"/>
  <c r="F28" i="7"/>
  <c r="G28" i="7"/>
  <c r="B29" i="7"/>
  <c r="C29" i="7"/>
  <c r="D29" i="7"/>
  <c r="E29" i="7"/>
  <c r="F29" i="7"/>
  <c r="G29" i="7"/>
  <c r="B30" i="7"/>
  <c r="C30" i="7"/>
  <c r="D30" i="7"/>
  <c r="E30" i="7"/>
  <c r="F30" i="7"/>
  <c r="G30" i="7"/>
  <c r="B31" i="7"/>
  <c r="C31" i="7"/>
  <c r="D31" i="7"/>
  <c r="E31" i="7"/>
  <c r="F31" i="7"/>
  <c r="G31" i="7"/>
  <c r="B32" i="7"/>
  <c r="C32" i="7"/>
  <c r="D32" i="7"/>
  <c r="E32" i="7"/>
  <c r="F32" i="7"/>
  <c r="G32" i="7"/>
  <c r="B33" i="7"/>
  <c r="C33" i="7"/>
  <c r="D33" i="7"/>
  <c r="E33" i="7"/>
  <c r="F33" i="7"/>
  <c r="G33" i="7"/>
  <c r="B34" i="7"/>
  <c r="C34" i="7"/>
  <c r="D34" i="7"/>
  <c r="E34" i="7"/>
  <c r="F34" i="7"/>
  <c r="G34" i="7"/>
  <c r="B35" i="7"/>
  <c r="C35" i="7"/>
  <c r="D35" i="7"/>
  <c r="E35" i="7"/>
  <c r="F35" i="7"/>
  <c r="G35" i="7"/>
  <c r="B36" i="7"/>
  <c r="C36" i="7"/>
  <c r="D36" i="7"/>
  <c r="E36" i="7"/>
  <c r="F36" i="7"/>
  <c r="G36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46" i="7"/>
  <c r="C46" i="7"/>
  <c r="D46" i="7"/>
  <c r="E46" i="7"/>
  <c r="F46" i="7"/>
  <c r="G46" i="7"/>
  <c r="B47" i="7"/>
  <c r="C47" i="7"/>
  <c r="D47" i="7"/>
  <c r="E47" i="7"/>
  <c r="F47" i="7"/>
  <c r="G47" i="7"/>
  <c r="B48" i="7"/>
  <c r="C48" i="7"/>
  <c r="D48" i="7"/>
  <c r="E48" i="7"/>
  <c r="F48" i="7"/>
  <c r="G48" i="7"/>
  <c r="B49" i="7"/>
  <c r="C49" i="7"/>
  <c r="D49" i="7"/>
  <c r="E49" i="7"/>
  <c r="F49" i="7"/>
  <c r="G49" i="7"/>
  <c r="B50" i="7"/>
  <c r="C50" i="7"/>
  <c r="D50" i="7"/>
  <c r="E50" i="7"/>
  <c r="F50" i="7"/>
  <c r="G50" i="7"/>
  <c r="B51" i="7"/>
  <c r="C51" i="7"/>
  <c r="D51" i="7"/>
  <c r="E51" i="7"/>
  <c r="F51" i="7"/>
  <c r="G51" i="7"/>
  <c r="B52" i="7"/>
  <c r="C52" i="7"/>
  <c r="D52" i="7"/>
  <c r="E52" i="7"/>
  <c r="F52" i="7"/>
  <c r="G52" i="7"/>
  <c r="B53" i="7"/>
  <c r="C53" i="7"/>
  <c r="D53" i="7"/>
  <c r="E53" i="7"/>
  <c r="F53" i="7"/>
  <c r="G53" i="7"/>
  <c r="B54" i="7"/>
  <c r="C54" i="7"/>
  <c r="D54" i="7"/>
  <c r="E54" i="7"/>
  <c r="F54" i="7"/>
  <c r="G54" i="7"/>
  <c r="B55" i="7"/>
  <c r="C55" i="7"/>
  <c r="D55" i="7"/>
  <c r="E55" i="7"/>
  <c r="F55" i="7"/>
  <c r="G55" i="7"/>
  <c r="B56" i="7"/>
  <c r="C56" i="7"/>
  <c r="D56" i="7"/>
  <c r="E56" i="7"/>
  <c r="F56" i="7"/>
  <c r="G56" i="7"/>
  <c r="B57" i="7"/>
  <c r="C57" i="7"/>
  <c r="D57" i="7"/>
  <c r="E57" i="7"/>
  <c r="F57" i="7"/>
  <c r="G57" i="7"/>
  <c r="B58" i="7"/>
  <c r="C58" i="7"/>
  <c r="D58" i="7"/>
  <c r="E58" i="7"/>
  <c r="F58" i="7"/>
  <c r="G58" i="7"/>
  <c r="B59" i="7"/>
  <c r="C59" i="7"/>
  <c r="D59" i="7"/>
  <c r="E59" i="7"/>
  <c r="F59" i="7"/>
  <c r="G59" i="7"/>
  <c r="B60" i="7"/>
  <c r="C60" i="7"/>
  <c r="D60" i="7"/>
  <c r="E60" i="7"/>
  <c r="F60" i="7"/>
  <c r="G60" i="7"/>
  <c r="F15" i="7"/>
  <c r="G15" i="7"/>
  <c r="A19" i="7" a="1"/>
  <c r="A19" i="7" s="1"/>
  <c r="E19" i="7" s="1"/>
  <c r="B12" i="7"/>
  <c r="B11" i="7"/>
  <c r="C10" i="1"/>
  <c r="C11" i="1"/>
  <c r="C12" i="1"/>
  <c r="C13" i="1"/>
  <c r="C14" i="1"/>
  <c r="C15" i="1"/>
  <c r="C16" i="1"/>
  <c r="C18" i="1"/>
  <c r="C19" i="1"/>
  <c r="C20" i="1"/>
  <c r="C21" i="1"/>
  <c r="C22" i="1"/>
  <c r="C23" i="1"/>
  <c r="C17" i="1"/>
  <c r="D21" i="7" l="1"/>
  <c r="B19" i="7"/>
  <c r="D20" i="7"/>
  <c r="D19" i="7"/>
  <c r="B21" i="7"/>
  <c r="F21" i="7"/>
  <c r="E21" i="7"/>
  <c r="C21" i="7"/>
  <c r="G21" i="7"/>
  <c r="F19" i="7"/>
  <c r="B20" i="7"/>
  <c r="G19" i="7"/>
  <c r="C20" i="7"/>
  <c r="C19" i="7"/>
  <c r="E20" i="7"/>
  <c r="F20" i="7"/>
  <c r="G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<sst xmlns="http://schemas.openxmlformats.org/spreadsheetml/2006/main" count="314" uniqueCount="171">
  <si>
    <t>Kit Series:</t>
  </si>
  <si>
    <t>Kit Components</t>
  </si>
  <si>
    <t>Product Number</t>
  </si>
  <si>
    <t>Product Type</t>
  </si>
  <si>
    <t>Type</t>
  </si>
  <si>
    <t>Unit</t>
  </si>
  <si>
    <t>Container Type</t>
  </si>
  <si>
    <t>Reagent</t>
  </si>
  <si>
    <t>Calibrator</t>
  </si>
  <si>
    <t>Control</t>
  </si>
  <si>
    <t>Filter Plate, 96 well</t>
  </si>
  <si>
    <t>Deep Well Plate, 96 well</t>
  </si>
  <si>
    <t>µL</t>
  </si>
  <si>
    <t>mL</t>
  </si>
  <si>
    <t>L</t>
  </si>
  <si>
    <t>pcs</t>
  </si>
  <si>
    <t>BG 7mL</t>
  </si>
  <si>
    <t>BG 10mL</t>
  </si>
  <si>
    <t>BG 30mL</t>
  </si>
  <si>
    <t>BG 50mL</t>
  </si>
  <si>
    <t>BG 100mL</t>
  </si>
  <si>
    <t>Reaction Vials (33006)</t>
  </si>
  <si>
    <t>Container Type (if liquid)</t>
  </si>
  <si>
    <t>Sample Preparation Procedure</t>
  </si>
  <si>
    <t>Action</t>
  </si>
  <si>
    <t>Actions</t>
  </si>
  <si>
    <t>Pipette</t>
  </si>
  <si>
    <t>Shake</t>
  </si>
  <si>
    <t>Centrifuge</t>
  </si>
  <si>
    <t>Collect</t>
  </si>
  <si>
    <t>Dilute</t>
  </si>
  <si>
    <t>Incubate</t>
  </si>
  <si>
    <t>Action Units</t>
  </si>
  <si>
    <t>rpm</t>
  </si>
  <si>
    <t>seconds</t>
  </si>
  <si>
    <t>°C</t>
  </si>
  <si>
    <t>Steps in chronological order</t>
  </si>
  <si>
    <t>Precipitation Reagent</t>
  </si>
  <si>
    <t>Extraction Buffer</t>
  </si>
  <si>
    <t>Dilution Buffer 1</t>
  </si>
  <si>
    <t>Dilution Buffer 2</t>
  </si>
  <si>
    <t>96 Well filter plates</t>
  </si>
  <si>
    <t>96 Well collection plates</t>
  </si>
  <si>
    <t>Collection Plate, 96 well</t>
  </si>
  <si>
    <t>SPE Plate, 96 well</t>
  </si>
  <si>
    <t>Sample</t>
  </si>
  <si>
    <t>Sample Tube</t>
  </si>
  <si>
    <t>(Basic) Kit Name:</t>
  </si>
  <si>
    <t>BASIC Kit</t>
  </si>
  <si>
    <t>Component Name</t>
  </si>
  <si>
    <t>Urine</t>
  </si>
  <si>
    <r>
      <t>MassTox</t>
    </r>
    <r>
      <rPr>
        <sz val="11"/>
        <color theme="1"/>
        <rFont val="Yu Gothic"/>
        <family val="2"/>
      </rPr>
      <t>®</t>
    </r>
  </si>
  <si>
    <t>92026/0/XT2</t>
  </si>
  <si>
    <t>92026/1/XT2</t>
  </si>
  <si>
    <t>92026/2/XT2</t>
  </si>
  <si>
    <t>92026/3/XT2</t>
  </si>
  <si>
    <t>Plasma Calibrator Level 1</t>
  </si>
  <si>
    <t>Plasma Calibrator Level 2</t>
  </si>
  <si>
    <t>Plasma Calibrator Level 3</t>
  </si>
  <si>
    <t>0228/XT2</t>
  </si>
  <si>
    <t>0229/XT2</t>
  </si>
  <si>
    <t>Control/Calibrator Level</t>
  </si>
  <si>
    <t>Plasma Control Level I</t>
  </si>
  <si>
    <t>Plasma Control Level II</t>
  </si>
  <si>
    <t>Internal Standard</t>
  </si>
  <si>
    <t>Kabe Tube</t>
  </si>
  <si>
    <t>Glass Tube 12mm</t>
  </si>
  <si>
    <t>Internal Standard Mix</t>
  </si>
  <si>
    <t>Plasma</t>
  </si>
  <si>
    <t>Parameter Set Number</t>
  </si>
  <si>
    <t>92046/N2/XT2</t>
  </si>
  <si>
    <t>List of Analytes</t>
  </si>
  <si>
    <t>with Concentration Unit</t>
  </si>
  <si>
    <t>Analyte Name</t>
  </si>
  <si>
    <t>Unit of Measurement</t>
  </si>
  <si>
    <t>mg/L</t>
  </si>
  <si>
    <t>Amisulpride</t>
  </si>
  <si>
    <t>Benperidol</t>
  </si>
  <si>
    <t>Brexpiprazole</t>
  </si>
  <si>
    <t>Bromperidol</t>
  </si>
  <si>
    <t>Cariprazine</t>
  </si>
  <si>
    <t>Chlorpromazine</t>
  </si>
  <si>
    <t>Chlorprothixene</t>
  </si>
  <si>
    <t>Flupentixol</t>
  </si>
  <si>
    <t>Fluphenazine</t>
  </si>
  <si>
    <t>Guanfacine</t>
  </si>
  <si>
    <t>Iloperidone</t>
  </si>
  <si>
    <t>Levomepromazine</t>
  </si>
  <si>
    <t>Loxapine</t>
  </si>
  <si>
    <t>Lurasidone</t>
  </si>
  <si>
    <t>Melperone</t>
  </si>
  <si>
    <t>Perazine</t>
  </si>
  <si>
    <t>Perphenazine</t>
  </si>
  <si>
    <t>Pimozide</t>
  </si>
  <si>
    <t>Pipamperone</t>
  </si>
  <si>
    <t>Promethazine</t>
  </si>
  <si>
    <t>Prothipendyl</t>
  </si>
  <si>
    <t>Sertindole</t>
  </si>
  <si>
    <t>Sulforidazine</t>
  </si>
  <si>
    <t>Sulpiride</t>
  </si>
  <si>
    <t>Thioridazine</t>
  </si>
  <si>
    <t>Ziprasidone</t>
  </si>
  <si>
    <t>Zotepine</t>
  </si>
  <si>
    <t>Zuclopenthixol</t>
  </si>
  <si>
    <t>µg/L</t>
  </si>
  <si>
    <t>Parameter Set</t>
  </si>
  <si>
    <t>Dilution schemes</t>
  </si>
  <si>
    <t>Dilution Name</t>
  </si>
  <si>
    <t>1+2</t>
  </si>
  <si>
    <t>1+3</t>
  </si>
  <si>
    <t>1+4</t>
  </si>
  <si>
    <t>1+5</t>
  </si>
  <si>
    <t>1+6</t>
  </si>
  <si>
    <t>1+7</t>
  </si>
  <si>
    <t>1+8</t>
  </si>
  <si>
    <t>Dilution Buffer 1 Ratio</t>
  </si>
  <si>
    <t>Dilution Buffer 2  Ratio</t>
  </si>
  <si>
    <t>Dilution Buffer 3  Ratio</t>
  </si>
  <si>
    <t>TDM Series A</t>
  </si>
  <si>
    <t>G</t>
  </si>
  <si>
    <t>Source</t>
  </si>
  <si>
    <t>Destination</t>
  </si>
  <si>
    <t>Duration [sec]</t>
  </si>
  <si>
    <t>Centrifuge Rotor Radius [cm]</t>
  </si>
  <si>
    <t>Force [RPM]</t>
  </si>
  <si>
    <t>Volume [uL]</t>
  </si>
  <si>
    <t>Shake, Centrifuge</t>
  </si>
  <si>
    <t>Selectable Options of Ratios</t>
  </si>
  <si>
    <t>Parameter Set Name (or "BASIC Kit")</t>
  </si>
  <si>
    <t>Collection Plate, 96 deep well</t>
  </si>
  <si>
    <t>Kit Product Number:</t>
  </si>
  <si>
    <t>Pipette (1000)</t>
  </si>
  <si>
    <t>Pipette (300)</t>
  </si>
  <si>
    <t>DONT EDIT</t>
  </si>
  <si>
    <t>Neuroleptics 2/EXTENDED 2</t>
  </si>
  <si>
    <t>92714-XT2</t>
  </si>
  <si>
    <t>AddOn Product Name:</t>
  </si>
  <si>
    <t>AddOn Product Number:</t>
  </si>
  <si>
    <t>MassPrep®</t>
  </si>
  <si>
    <t>AddOn Series:</t>
  </si>
  <si>
    <t>Dilution Plate, Deep Well. 96 well</t>
  </si>
  <si>
    <t>Dilution Plate,  96 well</t>
  </si>
  <si>
    <t>Entry only to be done in white fields!</t>
  </si>
  <si>
    <t>AddOn Name:</t>
  </si>
  <si>
    <t>Nothing to edit here!</t>
  </si>
  <si>
    <t>AddOn Information:</t>
  </si>
  <si>
    <t>Entry only to be done in white fields below!</t>
  </si>
  <si>
    <t>Auto. Assay Main Title:</t>
  </si>
  <si>
    <t>Auto. Assay Subtitle:</t>
  </si>
  <si>
    <t>Auto. Assay Number:</t>
  </si>
  <si>
    <t>Auto. Display Name (Sub):</t>
  </si>
  <si>
    <t>Antidepressants 1/EXTENDED</t>
  </si>
  <si>
    <t>92913-XT</t>
  </si>
  <si>
    <t>Antiepileptic Drugs XT2</t>
  </si>
  <si>
    <t>92921-XT2</t>
  </si>
  <si>
    <t>Assay Abbreviation</t>
  </si>
  <si>
    <t>NL2-XT2</t>
  </si>
  <si>
    <t>AD1-XT</t>
  </si>
  <si>
    <t>AED-XT2</t>
  </si>
  <si>
    <t>Auto. Assay Short Name:</t>
  </si>
  <si>
    <t>All Data shown below is derived from sheet "Basics".</t>
  </si>
  <si>
    <t>"Container Types" as per intended presentation on the Automation Platform.</t>
  </si>
  <si>
    <t>Only items relevant to "Sample Prep" procedure, one item per row: "Type" definition is required.</t>
  </si>
  <si>
    <t>Auto. Assay Name:</t>
  </si>
  <si>
    <t>AddOn Configuration Overview</t>
  </si>
  <si>
    <t>Kit Assays Name</t>
  </si>
  <si>
    <t>Included Assays:</t>
  </si>
  <si>
    <t>Reagent,Calibrator,Control,Deep Well Plate 96 well,Filter Plate 96 well,Collection Plate 96 well,Collection Plate 96 deep well,SPE Plate 96 well,Dilution Plate 96 Deep Well,Diilution Plate  96 well,Sample,Internal Standard</t>
  </si>
  <si>
    <t>Pipette (1000), Pipette (300), Shake, Centrifuge, Collect, Dilute, Incubate</t>
  </si>
  <si>
    <t>BG 7mL,
BG 10mL,
BG 30mL,
BG 50mL,
BG 100mL,
Reaction Vials (33006),
Sample Tube,
Kabe Tube,
Glass Tube 12mm</t>
  </si>
  <si>
    <t>Plasma Calibrator Level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</si>
</sst>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Yu Gothic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0" xfId="0" applyFont="1" applyFill="1"/>
    <xf numFmtId="0" fontId="1" fillId="2" borderId="1" xfId="0" applyFont="1" applyFill="1" applyBorder="1"/>
    <xf numFmtId="0" fontId="0" fillId="0" borderId="0" xfId="0" applyFont="1"/>
    <xf numFmtId="0" fontId="1" fillId="3" borderId="1" xfId="0" applyFont="1" applyFill="1" applyBorder="1"/>
    <xf numFmtId="0" fontId="0" fillId="3" borderId="1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4" fillId="3" borderId="0" xfId="0" applyFont="1" applyFill="1" applyAlignment="1"/>
    <xf numFmtId="0" fontId="0" fillId="3" borderId="0" xfId="0" applyFill="1" applyAlignment="1"/>
    <xf numFmtId="0" fontId="1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7" fillId="0" borderId="0" xfId="0" applyFont="1"/>
    <xf numFmtId="0" fontId="1" fillId="3" borderId="0" xfId="0" applyFont="1" applyFill="1" applyAlignment="1">
      <alignment horizontal="left"/>
    </xf>
    <xf numFmtId="0" fontId="0" fillId="0" borderId="0" xfId="0" applyAlignment="1">
      <alignment wrapText="1"/>
    </xf>
    <xf numFmtId="0" fontId="4" fillId="3" borderId="0" xfId="0" applyFont="1" applyFill="1" applyAlignment="1"/>
    <xf numFmtId="0" fontId="0" fillId="3" borderId="0" xfId="0" applyFill="1" applyAlignment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2"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9D14-CCD3-41DE-8802-28DD41EE9AAE}">
  <dimension ref="A1:H90"/>
  <sheetViews>
    <sheetView topLeftCell="A67" workbookViewId="0">
      <selection activeCell="E9" sqref="E9"/>
    </sheetView>
  </sheetViews>
  <sheetFormatPr baseColWidth="10" defaultRowHeight="13.7"/>
  <cols>
    <col min="1" max="1" width="21.44140625" bestFit="1" customWidth="1"/>
    <col min="2" max="2" width="23.6640625" customWidth="1"/>
    <col min="3" max="3" width="12.77734375" style="8" hidden="1" customWidth="1"/>
    <col min="4" max="4" width="21.44140625" style="8" bestFit="1" customWidth="1"/>
    <col min="5" max="5" width="21.44140625" style="8" customWidth="1"/>
    <col min="6" max="6" width="37.6640625" style="8" bestFit="1" customWidth="1"/>
    <col min="7" max="7" width="20.109375" style="6" bestFit="1" customWidth="1"/>
    <col min="8" max="8" width="21.5546875" bestFit="1" customWidth="1"/>
    <col min="9" max="9" width="11.5546875" customWidth="1"/>
  </cols>
  <sheetData>
    <row r="1" spans="1:8" ht="18">
      <c r="A1" s="18" t="s">
        <v>0</v>
      </c>
      <c r="B1" s="6" t="s">
        <v>51</v>
      </c>
      <c r="G1" s="28" t="s">
        <v>139</v>
      </c>
      <c r="H1" s="6" t="s">
        <v>138</v>
      </c>
    </row>
    <row r="2" spans="1:8">
      <c r="A2" s="18" t="s">
        <v>47</v>
      </c>
      <c r="B2" s="6" t="s">
        <v>118</v>
      </c>
      <c r="G2" s="28" t="s">
        <v>136</v>
      </c>
      <c r="H2" s="6" t="s">
        <v>118</v>
      </c>
    </row>
    <row r="3" spans="1:8">
      <c r="A3" s="18" t="s">
        <v>130</v>
      </c>
      <c r="B3" s="6">
        <v>92711</v>
      </c>
      <c r="G3" s="28" t="s">
        <v>137</v>
      </c>
      <c r="H3" s="6">
        <v>42952</v>
      </c>
    </row>
    <row r="4" spans="1:8">
      <c r="D4" s="15"/>
      <c r="E4" s="15"/>
      <c r="F4" s="6"/>
    </row>
    <row r="5" spans="1:8" ht="20">
      <c r="A5" s="30" t="s">
        <v>1</v>
      </c>
      <c r="B5" s="31"/>
      <c r="C5" s="31"/>
      <c r="D5" s="31"/>
      <c r="E5" s="31"/>
      <c r="F5" s="31"/>
      <c r="G5" s="31"/>
      <c r="H5" s="31"/>
    </row>
    <row r="6" spans="1:8">
      <c r="A6" t="s">
        <v>162</v>
      </c>
    </row>
    <row r="7" spans="1:8">
      <c r="A7" t="s">
        <v>161</v>
      </c>
    </row>
    <row r="8" spans="1:8">
      <c r="A8" s="1" t="s">
        <v>142</v>
      </c>
      <c r="C8" s="8" t="s">
        <v>133</v>
      </c>
    </row>
    <row r="9" spans="1:8" s="1" customFormat="1">
      <c r="A9" s="13" t="s">
        <v>2</v>
      </c>
      <c r="B9" s="13" t="s">
        <v>49</v>
      </c>
      <c r="C9" s="13" t="s">
        <v>61</v>
      </c>
      <c r="D9" s="25" t="s">
        <v>69</v>
      </c>
      <c r="E9" s="25" t="s">
        <v>155</v>
      </c>
      <c r="F9" s="25" t="s">
        <v>128</v>
      </c>
      <c r="G9" s="25" t="s">
        <v>4</v>
      </c>
      <c r="H9" s="26" t="s">
        <v>22</v>
      </c>
    </row>
    <row r="10" spans="1:8">
      <c r="A10" s="7"/>
      <c r="B10" s="5" t="s">
        <v>68</v>
      </c>
      <c r="C10" s="14" t="str">
        <f t="shared" ref="C10:C16" si="0">IF(RIGHT(TRIM(B10),5)="Blank",
     0,
     IF(ISNUMBER(SEARCH("Level",B10)),
          RIGHT(TRIM(B10),2),
          ""
     )
)</f>
        <v/>
      </c>
      <c r="D10" s="9"/>
      <c r="E10" s="9"/>
      <c r="F10" s="9"/>
      <c r="G10" s="9" t="s">
        <v>45</v>
      </c>
      <c r="H10" s="7" t="s">
        <v>46</v>
      </c>
    </row>
    <row r="11" spans="1:8">
      <c r="A11" s="7">
        <v>92012</v>
      </c>
      <c r="B11" s="5" t="s">
        <v>37</v>
      </c>
      <c r="C11" s="14" t="str">
        <f t="shared" si="0"/>
        <v/>
      </c>
      <c r="D11" s="9"/>
      <c r="E11" s="9"/>
      <c r="F11" s="9" t="s">
        <v>48</v>
      </c>
      <c r="G11" s="9" t="s">
        <v>7</v>
      </c>
      <c r="H11" s="7" t="s">
        <v>19</v>
      </c>
    </row>
    <row r="12" spans="1:8">
      <c r="A12" s="7">
        <v>92005</v>
      </c>
      <c r="B12" s="5" t="s">
        <v>38</v>
      </c>
      <c r="C12" s="14" t="str">
        <f t="shared" si="0"/>
        <v/>
      </c>
      <c r="D12" s="9"/>
      <c r="E12" s="9"/>
      <c r="F12" s="9" t="s">
        <v>48</v>
      </c>
      <c r="G12" s="9" t="s">
        <v>7</v>
      </c>
      <c r="H12" s="7" t="s">
        <v>16</v>
      </c>
    </row>
    <row r="13" spans="1:8">
      <c r="A13" s="7">
        <v>92007</v>
      </c>
      <c r="B13" s="5" t="s">
        <v>39</v>
      </c>
      <c r="C13" s="14" t="str">
        <f t="shared" si="0"/>
        <v/>
      </c>
      <c r="D13" s="9"/>
      <c r="E13" s="9"/>
      <c r="F13" s="9" t="s">
        <v>48</v>
      </c>
      <c r="G13" s="9" t="s">
        <v>7</v>
      </c>
      <c r="H13" s="7" t="s">
        <v>19</v>
      </c>
    </row>
    <row r="14" spans="1:8">
      <c r="A14" s="7">
        <v>92008</v>
      </c>
      <c r="B14" s="5" t="s">
        <v>40</v>
      </c>
      <c r="C14" s="14" t="str">
        <f t="shared" si="0"/>
        <v/>
      </c>
      <c r="D14" s="9"/>
      <c r="E14" s="9"/>
      <c r="F14" s="9" t="s">
        <v>48</v>
      </c>
      <c r="G14" s="9" t="s">
        <v>7</v>
      </c>
      <c r="H14" s="7" t="s">
        <v>19</v>
      </c>
    </row>
    <row r="15" spans="1:8">
      <c r="A15" s="7">
        <v>92057</v>
      </c>
      <c r="B15" s="5" t="s">
        <v>41</v>
      </c>
      <c r="C15" s="14" t="str">
        <f t="shared" si="0"/>
        <v/>
      </c>
      <c r="D15" s="9"/>
      <c r="E15" s="9"/>
      <c r="F15" s="9" t="s">
        <v>48</v>
      </c>
      <c r="G15" s="9" t="s">
        <v>10</v>
      </c>
      <c r="H15" s="7"/>
    </row>
    <row r="16" spans="1:8">
      <c r="A16" s="7">
        <v>92058</v>
      </c>
      <c r="B16" s="5" t="s">
        <v>42</v>
      </c>
      <c r="C16" s="14" t="str">
        <f t="shared" si="0"/>
        <v/>
      </c>
      <c r="D16" s="9"/>
      <c r="E16" s="9"/>
      <c r="F16" s="9" t="s">
        <v>48</v>
      </c>
      <c r="G16" s="9" t="s">
        <v>43</v>
      </c>
      <c r="H16" s="7"/>
    </row>
    <row r="17" spans="1:8">
      <c r="A17" s="7" t="s">
        <v>52</v>
      </c>
      <c r="B17" s="5" t="s">
        <v>170</v>
      </c>
      <c r="C17" s="14" t="str">
        <f t="shared" ref="C17:C23" si="1">IF(RIGHT(TRIM(B17),5)="Blank",
     0,
     IF(ISNUMBER(SEARCH("Level",B17)),
          RIGHT(TRIM(B17),2),
          ""
     )
)</f>
        <v xml:space="preserve"> 0</v>
      </c>
      <c r="D17" s="9" t="s">
        <v>135</v>
      </c>
      <c r="E17" s="9" t="s">
        <v>156</v>
      </c>
      <c r="F17" s="9" t="s">
        <v>134</v>
      </c>
      <c r="G17" s="9" t="s">
        <v>8</v>
      </c>
      <c r="H17" s="7" t="s">
        <v>65</v>
      </c>
    </row>
    <row r="18" spans="1:8">
      <c r="A18" s="7" t="s">
        <v>53</v>
      </c>
      <c r="B18" s="5" t="s">
        <v>56</v>
      </c>
      <c r="C18" s="14" t="str">
        <f t="shared" si="1"/>
        <v xml:space="preserve"> 1</v>
      </c>
      <c r="D18" s="9" t="s">
        <v>135</v>
      </c>
      <c r="E18" s="9" t="s">
        <v>156</v>
      </c>
      <c r="F18" s="9" t="s">
        <v>134</v>
      </c>
      <c r="G18" s="9" t="s">
        <v>8</v>
      </c>
      <c r="H18" s="7" t="s">
        <v>65</v>
      </c>
    </row>
    <row r="19" spans="1:8">
      <c r="A19" s="7" t="s">
        <v>54</v>
      </c>
      <c r="B19" s="5" t="s">
        <v>57</v>
      </c>
      <c r="C19" s="14" t="str">
        <f t="shared" si="1"/>
        <v xml:space="preserve"> 2</v>
      </c>
      <c r="D19" s="9" t="s">
        <v>135</v>
      </c>
      <c r="E19" s="9" t="s">
        <v>156</v>
      </c>
      <c r="F19" s="9" t="s">
        <v>134</v>
      </c>
      <c r="G19" s="9" t="s">
        <v>8</v>
      </c>
      <c r="H19" s="7" t="s">
        <v>65</v>
      </c>
    </row>
    <row r="20" spans="1:8">
      <c r="A20" s="7" t="s">
        <v>55</v>
      </c>
      <c r="B20" s="5" t="s">
        <v>58</v>
      </c>
      <c r="C20" s="14" t="str">
        <f t="shared" si="1"/>
        <v xml:space="preserve"> 3</v>
      </c>
      <c r="D20" s="9" t="s">
        <v>135</v>
      </c>
      <c r="E20" s="9" t="s">
        <v>156</v>
      </c>
      <c r="F20" s="9" t="s">
        <v>134</v>
      </c>
      <c r="G20" s="9" t="s">
        <v>8</v>
      </c>
      <c r="H20" s="7" t="s">
        <v>65</v>
      </c>
    </row>
    <row r="21" spans="1:8">
      <c r="A21" s="7" t="s">
        <v>59</v>
      </c>
      <c r="B21" s="5" t="s">
        <v>62</v>
      </c>
      <c r="C21" s="14" t="str">
        <f t="shared" si="1"/>
        <v xml:space="preserve"> I</v>
      </c>
      <c r="D21" s="9" t="s">
        <v>135</v>
      </c>
      <c r="E21" s="9" t="s">
        <v>156</v>
      </c>
      <c r="F21" s="9" t="s">
        <v>134</v>
      </c>
      <c r="G21" s="9" t="s">
        <v>9</v>
      </c>
      <c r="H21" s="7" t="s">
        <v>65</v>
      </c>
    </row>
    <row r="22" spans="1:8">
      <c r="A22" s="7" t="s">
        <v>60</v>
      </c>
      <c r="B22" s="5" t="s">
        <v>63</v>
      </c>
      <c r="C22" s="14" t="str">
        <f t="shared" si="1"/>
        <v>II</v>
      </c>
      <c r="D22" s="9" t="s">
        <v>135</v>
      </c>
      <c r="E22" s="9" t="s">
        <v>156</v>
      </c>
      <c r="F22" s="9" t="s">
        <v>134</v>
      </c>
      <c r="G22" s="9" t="s">
        <v>9</v>
      </c>
      <c r="H22" s="7" t="s">
        <v>65</v>
      </c>
    </row>
    <row r="23" spans="1:8">
      <c r="A23" s="7" t="s">
        <v>70</v>
      </c>
      <c r="B23" s="5" t="s">
        <v>67</v>
      </c>
      <c r="C23" s="14" t="str">
        <f t="shared" si="1"/>
        <v/>
      </c>
      <c r="D23" s="9" t="s">
        <v>135</v>
      </c>
      <c r="E23" s="9" t="s">
        <v>156</v>
      </c>
      <c r="F23" s="9" t="s">
        <v>134</v>
      </c>
      <c r="G23" s="9" t="s">
        <v>64</v>
      </c>
      <c r="H23" s="7" t="s">
        <v>19</v>
      </c>
    </row>
    <row r="24" spans="1:8">
      <c r="A24" s="7"/>
      <c r="B24" s="5"/>
      <c r="C24" s="14"/>
      <c r="D24" s="9" t="s">
        <v>152</v>
      </c>
      <c r="E24" s="9" t="s">
        <v>157</v>
      </c>
      <c r="F24" s="9" t="s">
        <v>151</v>
      </c>
      <c r="G24" s="9"/>
      <c r="H24" s="7"/>
    </row>
    <row r="25" spans="1:8">
      <c r="A25" s="7"/>
      <c r="B25" s="5"/>
      <c r="C25" s="14"/>
      <c r="D25" s="9" t="s">
        <v>154</v>
      </c>
      <c r="E25" s="9" t="s">
        <v>158</v>
      </c>
      <c r="F25" s="9" t="s">
        <v>153</v>
      </c>
      <c r="G25" s="9"/>
      <c r="H25" s="7"/>
    </row>
    <row r="26" spans="1:8">
      <c r="A26" s="7"/>
      <c r="B26" s="5"/>
      <c r="C26" s="14"/>
      <c r="D26" s="9"/>
      <c r="E26" s="9"/>
      <c r="F26" s="9"/>
      <c r="G26" s="9"/>
      <c r="H26" s="7"/>
    </row>
    <row r="27" spans="1:8">
      <c r="A27" s="7"/>
      <c r="B27" s="5"/>
      <c r="C27" s="14"/>
      <c r="D27" s="9"/>
      <c r="E27" s="9"/>
      <c r="F27" s="9"/>
      <c r="G27" s="9"/>
      <c r="H27" s="7"/>
    </row>
    <row r="28" spans="1:8">
      <c r="A28" s="7"/>
      <c r="B28" s="5"/>
      <c r="C28" s="14"/>
      <c r="D28" s="9"/>
      <c r="E28" s="9"/>
      <c r="F28" s="9"/>
      <c r="G28" s="9"/>
      <c r="H28" s="7"/>
    </row>
    <row r="29" spans="1:8">
      <c r="A29" s="7"/>
      <c r="B29" s="5"/>
      <c r="C29" s="14"/>
      <c r="D29" s="9"/>
      <c r="E29" s="9"/>
      <c r="F29" s="9"/>
      <c r="G29" s="9"/>
      <c r="H29" s="7"/>
    </row>
    <row r="30" spans="1:8">
      <c r="A30" s="7"/>
      <c r="B30" s="5"/>
      <c r="C30" s="14"/>
      <c r="D30" s="9"/>
      <c r="E30" s="9"/>
      <c r="F30" s="9"/>
      <c r="G30" s="9"/>
      <c r="H30" s="7"/>
    </row>
    <row r="31" spans="1:8">
      <c r="A31" s="7"/>
      <c r="B31" s="5"/>
      <c r="C31" s="14"/>
      <c r="D31" s="9"/>
      <c r="E31" s="9"/>
      <c r="F31" s="9"/>
      <c r="G31" s="9"/>
      <c r="H31" s="7"/>
    </row>
    <row r="32" spans="1:8">
      <c r="A32" s="7"/>
      <c r="B32" s="5"/>
      <c r="C32" s="14"/>
      <c r="D32" s="9"/>
      <c r="E32" s="9"/>
      <c r="F32" s="9"/>
      <c r="G32" s="9"/>
      <c r="H32" s="7"/>
    </row>
    <row r="33" spans="1:8">
      <c r="A33" s="7"/>
      <c r="B33" s="5"/>
      <c r="C33" s="14"/>
      <c r="D33" s="9"/>
      <c r="E33" s="9"/>
      <c r="F33" s="9"/>
      <c r="G33" s="9"/>
      <c r="H33" s="7"/>
    </row>
    <row r="34" spans="1:8">
      <c r="A34" s="7"/>
      <c r="B34" s="5"/>
      <c r="C34" s="14"/>
      <c r="D34" s="9"/>
      <c r="E34" s="9"/>
      <c r="F34" s="9"/>
      <c r="G34" s="9"/>
      <c r="H34" s="7"/>
    </row>
    <row r="35" spans="1:8">
      <c r="A35" s="7"/>
      <c r="B35" s="5"/>
      <c r="C35" s="14"/>
      <c r="D35" s="9"/>
      <c r="E35" s="9"/>
      <c r="F35" s="9"/>
      <c r="G35" s="9"/>
      <c r="H35" s="7"/>
    </row>
    <row r="36" spans="1:8">
      <c r="A36" s="7"/>
      <c r="B36" s="5"/>
      <c r="C36" s="14"/>
      <c r="D36" s="9"/>
      <c r="E36" s="9"/>
      <c r="F36" s="9"/>
      <c r="G36" s="9"/>
      <c r="H36" s="7"/>
    </row>
    <row r="37" spans="1:8">
      <c r="A37" s="7"/>
      <c r="B37" s="5"/>
      <c r="C37" s="14"/>
      <c r="D37" s="9"/>
      <c r="E37" s="9"/>
      <c r="F37" s="9"/>
      <c r="G37" s="9"/>
      <c r="H37" s="7"/>
    </row>
    <row r="38" spans="1:8">
      <c r="A38" s="7"/>
      <c r="B38" s="5"/>
      <c r="C38" s="14"/>
      <c r="D38" s="9"/>
      <c r="E38" s="9"/>
      <c r="F38" s="9"/>
      <c r="G38" s="9"/>
      <c r="H38" s="7"/>
    </row>
    <row r="39" spans="1:8">
      <c r="A39" s="7"/>
      <c r="B39" s="5"/>
      <c r="C39" s="14"/>
      <c r="D39" s="9"/>
      <c r="E39" s="9"/>
      <c r="F39" s="9"/>
      <c r="G39" s="9"/>
      <c r="H39" s="7"/>
    </row>
    <row r="40" spans="1:8">
      <c r="A40" s="7"/>
      <c r="B40" s="5"/>
      <c r="C40" s="14"/>
      <c r="D40" s="9"/>
      <c r="E40" s="9"/>
      <c r="F40" s="9"/>
      <c r="G40" s="9"/>
      <c r="H40" s="7"/>
    </row>
    <row r="41" spans="1:8">
      <c r="A41" s="7"/>
      <c r="B41" s="5"/>
      <c r="C41" s="14"/>
      <c r="D41" s="9"/>
      <c r="E41" s="9"/>
      <c r="F41" s="9"/>
      <c r="G41" s="9"/>
      <c r="H41" s="7"/>
    </row>
    <row r="42" spans="1:8">
      <c r="A42" s="7"/>
      <c r="B42" s="5"/>
      <c r="C42" s="14"/>
      <c r="D42" s="9"/>
      <c r="E42" s="9"/>
      <c r="F42" s="9"/>
      <c r="G42" s="9"/>
      <c r="H42" s="7"/>
    </row>
    <row r="43" spans="1:8">
      <c r="A43" s="7"/>
      <c r="B43" s="5"/>
      <c r="C43" s="14"/>
      <c r="D43" s="9"/>
      <c r="E43" s="9"/>
      <c r="F43" s="9"/>
      <c r="G43" s="9"/>
      <c r="H43" s="7"/>
    </row>
    <row r="44" spans="1:8">
      <c r="A44" s="7"/>
      <c r="B44" s="5"/>
      <c r="C44" s="14"/>
      <c r="D44" s="9"/>
      <c r="E44" s="9"/>
      <c r="F44" s="9"/>
      <c r="G44" s="9"/>
      <c r="H44" s="7"/>
    </row>
    <row r="45" spans="1:8">
      <c r="A45" s="7"/>
      <c r="B45" s="5"/>
      <c r="C45" s="14"/>
      <c r="D45" s="9"/>
      <c r="E45" s="9"/>
      <c r="F45" s="9"/>
      <c r="G45" s="9"/>
      <c r="H45" s="7"/>
    </row>
    <row r="46" spans="1:8">
      <c r="A46" s="7"/>
      <c r="B46" s="5"/>
      <c r="C46" s="14"/>
      <c r="D46" s="9"/>
      <c r="E46" s="9"/>
      <c r="F46" s="9"/>
      <c r="G46" s="9"/>
      <c r="H46" s="7"/>
    </row>
    <row r="47" spans="1:8">
      <c r="A47" s="7"/>
      <c r="B47" s="5"/>
      <c r="C47" s="14"/>
      <c r="D47" s="9"/>
      <c r="E47" s="9"/>
      <c r="F47" s="9"/>
      <c r="G47" s="9"/>
      <c r="H47" s="7"/>
    </row>
    <row r="48" spans="1:8">
      <c r="A48" s="7"/>
      <c r="B48" s="5"/>
      <c r="C48" s="14"/>
      <c r="D48" s="9"/>
      <c r="E48" s="9"/>
      <c r="F48" s="9"/>
      <c r="G48" s="9"/>
      <c r="H48" s="7"/>
    </row>
    <row r="49" spans="1:8">
      <c r="A49" s="7"/>
      <c r="B49" s="5"/>
      <c r="C49" s="14"/>
      <c r="D49" s="9"/>
      <c r="E49" s="9"/>
      <c r="F49" s="9"/>
      <c r="G49" s="9"/>
      <c r="H49" s="7"/>
    </row>
    <row r="50" spans="1:8">
      <c r="A50" s="7"/>
      <c r="B50" s="5"/>
      <c r="C50" s="14"/>
      <c r="D50" s="9"/>
      <c r="E50" s="9"/>
      <c r="F50" s="9"/>
      <c r="G50" s="9"/>
      <c r="H50" s="7"/>
    </row>
    <row r="51" spans="1:8">
      <c r="A51" s="7"/>
      <c r="B51" s="5"/>
      <c r="C51" s="14"/>
      <c r="D51" s="9"/>
      <c r="E51" s="9"/>
      <c r="F51" s="9"/>
      <c r="G51" s="9"/>
      <c r="H51" s="7"/>
    </row>
    <row r="52" spans="1:8">
      <c r="A52" s="7"/>
      <c r="B52" s="5"/>
      <c r="C52" s="14"/>
      <c r="D52" s="9"/>
      <c r="E52" s="9"/>
      <c r="F52" s="9"/>
      <c r="G52" s="9"/>
      <c r="H52" s="7"/>
    </row>
    <row r="53" spans="1:8">
      <c r="A53" s="7"/>
      <c r="B53" s="5"/>
      <c r="C53" s="14"/>
      <c r="D53" s="9"/>
      <c r="E53" s="9"/>
      <c r="F53" s="9"/>
      <c r="G53" s="9"/>
      <c r="H53" s="7"/>
    </row>
    <row r="54" spans="1:8">
      <c r="A54" s="7"/>
      <c r="B54" s="5"/>
      <c r="C54" s="14"/>
      <c r="D54" s="9"/>
      <c r="E54" s="9"/>
      <c r="F54" s="9"/>
      <c r="G54" s="9"/>
      <c r="H54" s="7"/>
    </row>
    <row r="55" spans="1:8">
      <c r="A55" s="7"/>
      <c r="B55" s="5"/>
      <c r="C55" s="14"/>
      <c r="D55" s="9"/>
      <c r="E55" s="9"/>
      <c r="F55" s="9"/>
      <c r="G55" s="9"/>
      <c r="H55" s="7"/>
    </row>
    <row r="56" spans="1:8">
      <c r="A56" s="7"/>
      <c r="B56" s="5"/>
      <c r="C56" s="14"/>
      <c r="D56" s="9"/>
      <c r="E56" s="9"/>
      <c r="F56" s="9"/>
      <c r="G56" s="9"/>
      <c r="H56" s="7"/>
    </row>
    <row r="57" spans="1:8">
      <c r="A57" s="7"/>
      <c r="B57" s="5"/>
      <c r="C57" s="14"/>
      <c r="D57" s="9"/>
      <c r="E57" s="9"/>
      <c r="F57" s="9"/>
      <c r="G57" s="9"/>
      <c r="H57" s="7"/>
    </row>
    <row r="58" spans="1:8">
      <c r="A58" s="7"/>
      <c r="B58" s="5"/>
      <c r="C58" s="14"/>
      <c r="D58" s="9"/>
      <c r="E58" s="9"/>
      <c r="F58" s="9"/>
      <c r="G58" s="9"/>
      <c r="H58" s="7"/>
    </row>
    <row r="59" spans="1:8">
      <c r="A59" s="7"/>
      <c r="B59" s="5"/>
      <c r="C59" s="14"/>
      <c r="D59" s="9"/>
      <c r="E59" s="9"/>
      <c r="F59" s="9"/>
      <c r="G59" s="9"/>
      <c r="H59" s="7"/>
    </row>
    <row r="60" spans="1:8">
      <c r="A60" s="7"/>
      <c r="B60" s="5"/>
      <c r="C60" s="14"/>
      <c r="D60" s="9"/>
      <c r="E60" s="9"/>
      <c r="F60" s="9"/>
      <c r="G60" s="9"/>
      <c r="H60" s="7"/>
    </row>
    <row r="61" spans="1:8">
      <c r="A61" s="7"/>
      <c r="B61" s="5"/>
      <c r="C61" s="14"/>
      <c r="D61" s="9"/>
      <c r="E61" s="9"/>
      <c r="F61" s="9"/>
      <c r="G61" s="9"/>
      <c r="H61" s="7"/>
    </row>
    <row r="62" spans="1:8">
      <c r="A62" s="7"/>
      <c r="B62" s="5"/>
      <c r="C62" s="14"/>
      <c r="D62" s="9"/>
      <c r="E62" s="9"/>
      <c r="F62" s="9"/>
      <c r="G62" s="9"/>
      <c r="H62" s="7"/>
    </row>
    <row r="63" spans="1:8">
      <c r="A63" s="7"/>
      <c r="B63" s="5"/>
      <c r="C63" s="14"/>
      <c r="D63" s="9"/>
      <c r="E63" s="9"/>
      <c r="F63" s="9"/>
      <c r="G63" s="9"/>
      <c r="H63" s="7"/>
    </row>
    <row r="64" spans="1:8">
      <c r="A64" s="7"/>
      <c r="B64" s="5"/>
      <c r="C64" s="14"/>
      <c r="D64" s="9"/>
      <c r="E64" s="9"/>
      <c r="F64" s="9"/>
      <c r="G64" s="9"/>
      <c r="H64" s="7"/>
    </row>
    <row r="65" spans="1:8">
      <c r="A65" s="7"/>
      <c r="B65" s="5"/>
      <c r="C65" s="14"/>
      <c r="D65" s="9"/>
      <c r="E65" s="9"/>
      <c r="F65" s="9"/>
      <c r="G65" s="9"/>
      <c r="H65" s="7"/>
    </row>
    <row r="66" spans="1:8">
      <c r="A66" s="7"/>
      <c r="B66" s="5"/>
      <c r="C66" s="14"/>
      <c r="D66" s="9"/>
      <c r="E66" s="9"/>
      <c r="F66" s="9"/>
      <c r="G66" s="9"/>
      <c r="H66" s="7"/>
    </row>
    <row r="67" spans="1:8">
      <c r="A67" s="7"/>
      <c r="B67" s="5"/>
      <c r="C67" s="14"/>
      <c r="D67" s="9"/>
      <c r="E67" s="9"/>
      <c r="F67" s="9"/>
      <c r="G67" s="9"/>
      <c r="H67" s="7"/>
    </row>
    <row r="68" spans="1:8">
      <c r="A68" s="7"/>
      <c r="B68" s="5"/>
      <c r="C68" s="14"/>
      <c r="D68" s="9"/>
      <c r="E68" s="9"/>
      <c r="F68" s="9"/>
      <c r="G68" s="9"/>
      <c r="H68" s="7"/>
    </row>
    <row r="69" spans="1:8">
      <c r="A69" s="7"/>
      <c r="B69" s="5"/>
      <c r="C69" s="14"/>
      <c r="D69" s="9"/>
      <c r="E69" s="9"/>
      <c r="F69" s="9"/>
      <c r="G69" s="9"/>
      <c r="H69" s="7"/>
    </row>
    <row r="70" spans="1:8">
      <c r="A70" s="7"/>
      <c r="B70" s="5"/>
      <c r="C70" s="14"/>
      <c r="D70" s="9"/>
      <c r="E70" s="9"/>
      <c r="F70" s="9"/>
      <c r="G70" s="9"/>
      <c r="H70" s="7"/>
    </row>
    <row r="71" spans="1:8">
      <c r="A71" s="7"/>
      <c r="B71" s="5"/>
      <c r="C71" s="14"/>
      <c r="D71" s="9"/>
      <c r="E71" s="9"/>
      <c r="F71" s="9"/>
      <c r="G71" s="9"/>
      <c r="H71" s="7"/>
    </row>
    <row r="72" spans="1:8">
      <c r="A72" s="7"/>
      <c r="B72" s="5"/>
      <c r="C72" s="14"/>
      <c r="D72" s="9"/>
      <c r="E72" s="9"/>
      <c r="F72" s="9"/>
      <c r="G72" s="9"/>
      <c r="H72" s="7"/>
    </row>
    <row r="73" spans="1:8">
      <c r="A73" s="7"/>
      <c r="B73" s="5"/>
      <c r="C73" s="14"/>
      <c r="D73" s="9"/>
      <c r="E73" s="9"/>
      <c r="F73" s="9"/>
      <c r="G73" s="9"/>
      <c r="H73" s="7"/>
    </row>
    <row r="74" spans="1:8">
      <c r="A74" s="7"/>
      <c r="B74" s="5"/>
      <c r="C74" s="14"/>
      <c r="D74" s="9"/>
      <c r="E74" s="9"/>
      <c r="F74" s="9"/>
      <c r="G74" s="9"/>
      <c r="H74" s="7"/>
    </row>
    <row r="75" spans="1:8">
      <c r="A75" s="7"/>
      <c r="B75" s="5"/>
      <c r="C75" s="14"/>
      <c r="D75" s="9"/>
      <c r="E75" s="9"/>
      <c r="F75" s="9"/>
      <c r="G75" s="9"/>
      <c r="H75" s="7"/>
    </row>
    <row r="76" spans="1:8">
      <c r="A76" s="7"/>
      <c r="B76" s="5"/>
      <c r="C76" s="14"/>
      <c r="D76" s="9"/>
      <c r="E76" s="9"/>
      <c r="F76" s="9"/>
      <c r="G76" s="9"/>
      <c r="H76" s="7"/>
    </row>
    <row r="77" spans="1:8">
      <c r="A77" s="7"/>
      <c r="B77" s="5"/>
      <c r="C77" s="14"/>
      <c r="D77" s="9"/>
      <c r="E77" s="9"/>
      <c r="F77" s="9"/>
      <c r="G77" s="9"/>
      <c r="H77" s="7"/>
    </row>
    <row r="78" spans="1:8">
      <c r="A78" s="7"/>
      <c r="B78" s="5"/>
      <c r="C78" s="14"/>
      <c r="D78" s="9"/>
      <c r="E78" s="9"/>
      <c r="F78" s="9"/>
      <c r="G78" s="9"/>
      <c r="H78" s="7"/>
    </row>
    <row r="79" spans="1:8">
      <c r="A79" s="7"/>
      <c r="B79" s="5"/>
      <c r="C79" s="14"/>
      <c r="D79" s="9"/>
      <c r="E79" s="9"/>
      <c r="F79" s="9"/>
      <c r="G79" s="9"/>
      <c r="H79" s="7"/>
    </row>
    <row r="80" spans="1:8">
      <c r="A80" s="7"/>
      <c r="B80" s="5"/>
      <c r="C80" s="14"/>
      <c r="D80" s="9"/>
      <c r="E80" s="9"/>
      <c r="F80" s="9"/>
      <c r="G80" s="9"/>
      <c r="H80" s="7"/>
    </row>
    <row r="81" spans="1:8">
      <c r="A81" s="7"/>
      <c r="B81" s="5"/>
      <c r="C81" s="14"/>
      <c r="D81" s="9"/>
      <c r="E81" s="9"/>
      <c r="F81" s="9"/>
      <c r="G81" s="9"/>
      <c r="H81" s="7"/>
    </row>
    <row r="82" spans="1:8">
      <c r="A82" s="7"/>
      <c r="B82" s="5"/>
      <c r="C82" s="14"/>
      <c r="D82" s="9"/>
      <c r="E82" s="9"/>
      <c r="F82" s="9"/>
      <c r="G82" s="9"/>
      <c r="H82" s="7"/>
    </row>
    <row r="83" spans="1:8">
      <c r="A83" s="7"/>
      <c r="B83" s="5"/>
      <c r="C83" s="14"/>
      <c r="D83" s="9"/>
      <c r="E83" s="9"/>
      <c r="F83" s="9"/>
      <c r="G83" s="9"/>
      <c r="H83" s="7"/>
    </row>
    <row r="84" spans="1:8">
      <c r="A84" s="7"/>
      <c r="B84" s="5"/>
      <c r="C84" s="14"/>
      <c r="D84" s="9"/>
      <c r="E84" s="9"/>
      <c r="F84" s="9"/>
      <c r="G84" s="9"/>
      <c r="H84" s="7"/>
    </row>
    <row r="85" spans="1:8">
      <c r="A85" s="7"/>
      <c r="B85" s="5"/>
      <c r="C85" s="14"/>
      <c r="D85" s="9"/>
      <c r="E85" s="9"/>
      <c r="F85" s="9"/>
      <c r="G85" s="9"/>
      <c r="H85" s="7"/>
    </row>
    <row r="86" spans="1:8">
      <c r="A86" s="7"/>
      <c r="B86" s="5"/>
      <c r="C86" s="14"/>
      <c r="D86" s="9"/>
      <c r="E86" s="9"/>
      <c r="F86" s="9"/>
      <c r="G86" s="9"/>
      <c r="H86" s="7"/>
    </row>
    <row r="87" spans="1:8">
      <c r="A87" s="7"/>
      <c r="B87" s="5"/>
      <c r="C87" s="14"/>
      <c r="D87" s="9"/>
      <c r="E87" s="9"/>
      <c r="F87" s="9"/>
      <c r="G87" s="9"/>
      <c r="H87" s="7"/>
    </row>
    <row r="88" spans="1:8">
      <c r="A88" s="7"/>
      <c r="B88" s="5"/>
      <c r="C88" s="14"/>
      <c r="D88" s="9"/>
      <c r="E88" s="9"/>
      <c r="F88" s="9"/>
      <c r="G88" s="9"/>
      <c r="H88" s="7"/>
    </row>
    <row r="89" spans="1:8">
      <c r="A89" s="7"/>
      <c r="B89" s="5"/>
      <c r="C89" s="14"/>
      <c r="D89" s="9"/>
      <c r="E89" s="9"/>
      <c r="F89" s="9"/>
      <c r="G89" s="9"/>
      <c r="H89" s="7"/>
    </row>
    <row r="90" spans="1:8">
      <c r="A90" s="7"/>
      <c r="B90" s="5"/>
      <c r="C90" s="14"/>
      <c r="D90" s="9"/>
      <c r="E90" s="9"/>
      <c r="F90" s="9"/>
      <c r="G90" s="9"/>
      <c r="H90" s="7"/>
    </row>
  </sheetData>
  <mergeCells count="1">
    <mergeCell ref="A5:H5"/>
  </mergeCells>
  <phoneticPr fontId="5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D9A695-CF86-4DEA-A47B-F9318984EF70}">
          <x14:formula1>
            <xm:f>Hidden_Lists!$C$2:$C$20</xm:f>
          </x14:formula1>
          <xm:sqref>H10:H90</xm:sqref>
        </x14:dataValidation>
        <x14:dataValidation type="list" allowBlank="1" showInputMessage="1" showErrorMessage="1" xr:uid="{6F85B19D-E2DF-4E82-A06E-C152C83CC237}">
          <x14:formula1>
            <xm:f>Hidden_Lists!$A$2:$A$20</xm:f>
          </x14:formula1>
          <xm:sqref>G10:G90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DE2F-6547-4E5F-AEF9-A3AA2857B06F}">
  <dimension ref="A5:F32"/>
  <sheetViews>
    <sheetView workbookViewId="0">
      <selection activeCell="F21" sqref="F21"/>
    </sheetView>
  </sheetViews>
  <sheetFormatPr baseColWidth="10" defaultRowHeight="13.7"/>
  <cols>
    <col min="1" max="1" width="12.5546875" customWidth="1"/>
    <col min="2" max="2" width="22.5546875" customWidth="1"/>
    <col min="3" max="3" width="24.21875" customWidth="1"/>
    <col min="4" max="4" width="10.6640625" bestFit="1" customWidth="1"/>
    <col min="5" max="5" width="12.44140625" bestFit="1" customWidth="1"/>
  </cols>
  <sheetData>
    <row r="5" spans="1:6" ht="20">
      <c r="A5" s="30" t="s">
        <v>23</v>
      </c>
      <c r="B5" s="31"/>
      <c r="C5" s="31"/>
      <c r="D5" s="31"/>
      <c r="E5" s="31"/>
      <c r="F5" s="31"/>
    </row>
    <row r="6" spans="1:6">
      <c r="A6" t="s">
        <v>36</v>
      </c>
    </row>
    <row r="8" spans="1:6">
      <c r="A8" s="1" t="s">
        <v>146</v>
      </c>
      <c r="D8" s="19" t="s">
        <v>26</v>
      </c>
      <c r="E8" s="32" t="s">
        <v>126</v>
      </c>
      <c r="F8" s="32"/>
    </row>
    <row r="9" spans="1:6">
      <c r="A9" s="11" t="s">
        <v>24</v>
      </c>
      <c r="B9" s="11" t="s">
        <v>120</v>
      </c>
      <c r="C9" s="11" t="s">
        <v>121</v>
      </c>
      <c r="D9" s="11" t="s">
        <v>125</v>
      </c>
      <c r="E9" s="11" t="s">
        <v>122</v>
      </c>
      <c r="F9" s="11" t="s">
        <v>124</v>
      </c>
    </row>
    <row r="10" spans="1:6">
      <c r="A10" s="5" t="s">
        <v>131</v>
      </c>
      <c r="B10" s="5" t="s">
        <v>50</v>
      </c>
      <c r="C10" s="5" t="s">
        <v>41</v>
      </c>
      <c r="D10" s="5">
        <v>50</v>
      </c>
      <c r="E10" s="5"/>
      <c r="F10" s="5"/>
    </row>
    <row r="11" spans="1:6">
      <c r="A11" s="5" t="s">
        <v>132</v>
      </c>
      <c r="B11" s="5" t="s">
        <v>56</v>
      </c>
      <c r="C11" s="5" t="s">
        <v>41</v>
      </c>
      <c r="D11" s="5">
        <v>50</v>
      </c>
      <c r="E11" s="5"/>
      <c r="F11" s="5"/>
    </row>
    <row r="12" spans="1:6">
      <c r="A12" s="5" t="s">
        <v>132</v>
      </c>
      <c r="B12" s="5" t="s">
        <v>57</v>
      </c>
      <c r="C12" s="5" t="s">
        <v>41</v>
      </c>
      <c r="D12" s="5">
        <v>50</v>
      </c>
      <c r="E12" s="5"/>
      <c r="F12" s="5"/>
    </row>
    <row r="13" spans="1:6">
      <c r="A13" s="5" t="s">
        <v>132</v>
      </c>
      <c r="B13" s="5" t="s">
        <v>58</v>
      </c>
      <c r="C13" s="5" t="s">
        <v>41</v>
      </c>
      <c r="D13" s="5">
        <v>50</v>
      </c>
      <c r="E13" s="5"/>
      <c r="F13" s="5"/>
    </row>
    <row r="14" spans="1:6">
      <c r="A14" s="5" t="s">
        <v>132</v>
      </c>
      <c r="B14" s="5" t="s">
        <v>62</v>
      </c>
      <c r="C14" s="5" t="s">
        <v>41</v>
      </c>
      <c r="D14" s="5">
        <v>50</v>
      </c>
      <c r="E14" s="5"/>
      <c r="F14" s="5"/>
    </row>
    <row r="15" spans="1:6">
      <c r="A15" s="5" t="s">
        <v>132</v>
      </c>
      <c r="B15" s="5" t="s">
        <v>63</v>
      </c>
      <c r="C15" s="5" t="s">
        <v>41</v>
      </c>
      <c r="D15" s="5">
        <v>50</v>
      </c>
      <c r="E15" s="5"/>
      <c r="F15" s="5"/>
    </row>
    <row r="16" spans="1:6">
      <c r="A16" s="5" t="s">
        <v>131</v>
      </c>
      <c r="B16" s="5" t="s">
        <v>38</v>
      </c>
      <c r="C16" s="5" t="s">
        <v>41</v>
      </c>
      <c r="D16" s="5">
        <v>25</v>
      </c>
      <c r="E16" s="5"/>
      <c r="F16" s="5"/>
    </row>
    <row r="17" spans="1:6">
      <c r="A17" s="5" t="s">
        <v>27</v>
      </c>
      <c r="B17" s="5" t="s">
        <v>41</v>
      </c>
      <c r="C17" s="5"/>
      <c r="D17" s="5"/>
      <c r="E17" s="5">
        <v>120</v>
      </c>
      <c r="F17" s="5">
        <v>600</v>
      </c>
    </row>
    <row r="18" spans="1:6">
      <c r="A18" s="5" t="s">
        <v>131</v>
      </c>
      <c r="B18" s="5" t="s">
        <v>67</v>
      </c>
      <c r="C18" s="5" t="s">
        <v>41</v>
      </c>
      <c r="D18" s="5">
        <v>250</v>
      </c>
      <c r="E18" s="5"/>
      <c r="F18" s="5"/>
    </row>
    <row r="19" spans="1:6">
      <c r="A19" s="5" t="s">
        <v>27</v>
      </c>
      <c r="B19" s="5" t="s">
        <v>41</v>
      </c>
      <c r="C19" s="5"/>
      <c r="D19" s="5"/>
      <c r="E19" s="5">
        <v>30</v>
      </c>
      <c r="F19" s="5">
        <v>1000</v>
      </c>
    </row>
    <row r="20" spans="1:6">
      <c r="A20" s="5" t="s">
        <v>28</v>
      </c>
      <c r="B20" s="5" t="s">
        <v>41</v>
      </c>
      <c r="C20" s="5" t="s">
        <v>42</v>
      </c>
      <c r="D20" s="5"/>
      <c r="E20" s="5">
        <v>300</v>
      </c>
      <c r="F20" s="5">
        <v>2000</v>
      </c>
    </row>
    <row r="21" spans="1:6">
      <c r="A21" s="5" t="s">
        <v>30</v>
      </c>
      <c r="B21" s="5" t="s">
        <v>42</v>
      </c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</sheetData>
  <mergeCells count="2">
    <mergeCell ref="E8:F8"/>
    <mergeCell ref="A5:F5"/>
  </mergeCells>
  <phoneticPr fontId="5" type="noConversion"/>
  <dataValidations count="1">
    <dataValidation type="whole" operator="greaterThan" allowBlank="1" showInputMessage="1" showErrorMessage="1" sqref="D10:D32" xr:uid="{E3789D81-0FFC-4C14-B92F-17B626C9E773}">
      <formula1>0</formula1>
    </dataValidation>
  </dataValidations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1460526-AB77-4A3E-8B07-19B18D15CFD3}">
            <xm:f>_xludf.if($A$10=Hidden_Lists!$D$2)</xm:f>
            <x14:dxf>
              <fill>
                <patternFill>
                  <bgColor theme="0" tint="-0.499984740745262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3" id="{0B742BC7-0B6E-4D26-884F-0BDA4C2009B4}">
            <xm:f>_xludf.if($A$10=Hidden_Lists!$D$4)</xm:f>
            <x14:dxf>
              <fill>
                <patternFill>
                  <bgColor theme="0" tint="-0.34998626667073579"/>
                </patternFill>
              </fill>
            </x14:dxf>
          </x14:cfRule>
          <xm:sqref>B10:D10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436DD0-1186-4301-BC3C-6F8ABED07AC6}">
          <x14:formula1>
            <xm:f>Basics!$B$10:$B$32</xm:f>
          </x14:formula1>
          <xm:sqref>B10:D32</xm:sqref>
        </x14:dataValidation>
        <x14:dataValidation type="list" allowBlank="1" showInputMessage="1" showErrorMessage="1" xr:uid="{993A754B-5BA9-4CF6-A371-AA266C573863}">
          <x14:formula1>
            <xm:f>Hidden_Lists!$D$2:$D$20</xm:f>
          </x14:formula1>
          <xm:sqref>A10:A32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01B3-6997-4364-8643-8369FFFAD0B3}">
  <dimension ref="A5:D16"/>
  <sheetViews>
    <sheetView workbookViewId="0">
      <selection activeCell="A20" sqref="A20"/>
    </sheetView>
  </sheetViews>
  <sheetFormatPr baseColWidth="10" defaultRowHeight="13.7"/>
  <cols>
    <col min="1" max="1" width="23.109375" bestFit="1" customWidth="1"/>
    <col min="2" max="2" width="18.88671875" bestFit="1" customWidth="1"/>
    <col min="3" max="4" width="19.21875" bestFit="1" customWidth="1"/>
  </cols>
  <sheetData>
    <row r="5" spans="1:4" ht="20">
      <c r="A5" s="30" t="s">
        <v>106</v>
      </c>
      <c r="B5" s="31"/>
      <c r="C5" s="31"/>
      <c r="D5" s="31"/>
    </row>
    <row r="6" spans="1:4">
      <c r="A6" s="12" t="s">
        <v>127</v>
      </c>
    </row>
    <row r="7" spans="1:4" ht="20">
      <c r="A7" s="4"/>
    </row>
    <row r="8" spans="1:4">
      <c r="A8" s="1" t="s">
        <v>146</v>
      </c>
    </row>
    <row r="9" spans="1:4">
      <c r="A9" s="11" t="s">
        <v>107</v>
      </c>
      <c r="B9" s="11" t="s">
        <v>115</v>
      </c>
      <c r="C9" s="11" t="s">
        <v>116</v>
      </c>
      <c r="D9" s="11" t="s">
        <v>117</v>
      </c>
    </row>
    <row r="10" spans="1:4">
      <c r="A10" s="5" t="s">
        <v>108</v>
      </c>
      <c r="B10" s="5">
        <v>100</v>
      </c>
      <c r="C10" s="5"/>
      <c r="D10" s="5"/>
    </row>
    <row r="11" spans="1:4">
      <c r="A11" s="5" t="s">
        <v>109</v>
      </c>
      <c r="B11" s="5">
        <v>100</v>
      </c>
      <c r="C11" s="5"/>
      <c r="D11" s="5"/>
    </row>
    <row r="12" spans="1:4">
      <c r="A12" s="5" t="s">
        <v>110</v>
      </c>
      <c r="B12" s="5">
        <v>50</v>
      </c>
      <c r="C12" s="5">
        <v>50</v>
      </c>
      <c r="D12" s="5"/>
    </row>
    <row r="13" spans="1:4">
      <c r="A13" s="5" t="s">
        <v>111</v>
      </c>
      <c r="B13" s="5">
        <v>50</v>
      </c>
      <c r="C13" s="5">
        <v>50</v>
      </c>
      <c r="D13" s="5"/>
    </row>
    <row r="14" spans="1:4">
      <c r="A14" s="5" t="s">
        <v>112</v>
      </c>
      <c r="B14" s="5">
        <v>50</v>
      </c>
      <c r="C14" s="5">
        <v>50</v>
      </c>
      <c r="D14" s="5"/>
    </row>
    <row r="15" spans="1:4">
      <c r="A15" s="5" t="s">
        <v>113</v>
      </c>
      <c r="B15" s="5">
        <v>50</v>
      </c>
      <c r="C15" s="5">
        <v>50</v>
      </c>
      <c r="D15" s="5"/>
    </row>
    <row r="16" spans="1:4">
      <c r="A16" s="5" t="s">
        <v>114</v>
      </c>
      <c r="B16" s="5"/>
      <c r="C16" s="5">
        <v>100</v>
      </c>
      <c r="D16" s="5"/>
    </row>
  </sheetData>
  <mergeCells count="1">
    <mergeCell ref="A5:D5"/>
  </mergeCells>
  <phoneticPr fontId="5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429F-C7BD-4892-AF10-4DB5AFE45ACB}">
  <dimension ref="A5:C37"/>
  <sheetViews>
    <sheetView tabSelected="1" topLeftCell="A6" workbookViewId="0">
      <selection activeCell="C18" sqref="C18"/>
    </sheetView>
  </sheetViews>
  <sheetFormatPr baseColWidth="10" defaultRowHeight="13.7"/>
  <cols>
    <col min="1" max="1" width="27.77734375" customWidth="1"/>
    <col min="2" max="2" width="19.5546875" customWidth="1"/>
    <col min="3" max="3" width="37.6640625" bestFit="1" customWidth="1"/>
  </cols>
  <sheetData>
    <row r="5" spans="1:3" ht="20">
      <c r="A5" s="30" t="s">
        <v>71</v>
      </c>
      <c r="B5" s="31"/>
      <c r="C5" s="31"/>
    </row>
    <row r="6" spans="1:3">
      <c r="A6" t="s">
        <v>72</v>
      </c>
    </row>
    <row r="7" spans="1:3" ht="20">
      <c r="A7" s="4"/>
    </row>
    <row r="8" spans="1:3">
      <c r="A8" s="1" t="s">
        <v>146</v>
      </c>
    </row>
    <row r="9" spans="1:3">
      <c r="A9" s="10" t="s">
        <v>73</v>
      </c>
      <c r="B9" s="10" t="s">
        <v>74</v>
      </c>
      <c r="C9" s="10" t="s">
        <v>105</v>
      </c>
    </row>
    <row r="10" spans="1:3">
      <c r="A10" t="s">
        <v>76</v>
      </c>
      <c r="B10" t="s">
        <v>104</v>
      </c>
      <c r="C10" t="s">
        <v>156</v>
      </c>
    </row>
    <row r="11" spans="1:3">
      <c r="A11" t="s">
        <v>77</v>
      </c>
      <c r="B11" t="s">
        <v>104</v>
      </c>
      <c r="C11" t="s">
        <v>156</v>
      </c>
    </row>
    <row r="12" spans="1:3">
      <c r="A12" t="s">
        <v>78</v>
      </c>
      <c r="B12" t="s">
        <v>104</v>
      </c>
      <c r="C12" t="s">
        <v>156</v>
      </c>
    </row>
    <row r="13" spans="1:3">
      <c r="A13" t="s">
        <v>79</v>
      </c>
      <c r="B13" t="s">
        <v>104</v>
      </c>
      <c r="C13" t="s">
        <v>156</v>
      </c>
    </row>
    <row r="14" spans="1:3">
      <c r="A14" t="s">
        <v>80</v>
      </c>
      <c r="B14" t="s">
        <v>104</v>
      </c>
      <c r="C14" t="s">
        <v>156</v>
      </c>
    </row>
    <row r="15" spans="1:3">
      <c r="A15" t="s">
        <v>81</v>
      </c>
      <c r="B15" t="s">
        <v>104</v>
      </c>
      <c r="C15" t="s">
        <v>156</v>
      </c>
    </row>
    <row r="16" spans="1:3">
      <c r="A16" t="s">
        <v>82</v>
      </c>
      <c r="B16" t="s">
        <v>104</v>
      </c>
      <c r="C16" t="s">
        <v>156</v>
      </c>
    </row>
    <row r="17" spans="1:3">
      <c r="A17" t="s">
        <v>83</v>
      </c>
      <c r="B17" t="s">
        <v>104</v>
      </c>
      <c r="C17" t="s">
        <v>156</v>
      </c>
    </row>
    <row r="18" spans="1:3">
      <c r="A18" t="s">
        <v>84</v>
      </c>
      <c r="B18" t="s">
        <v>104</v>
      </c>
      <c r="C18" t="s">
        <v>156</v>
      </c>
    </row>
    <row r="19" spans="1:3">
      <c r="A19" t="s">
        <v>85</v>
      </c>
      <c r="B19" t="s">
        <v>104</v>
      </c>
      <c r="C19" t="s">
        <v>156</v>
      </c>
    </row>
    <row r="20" spans="1:3">
      <c r="A20" t="s">
        <v>86</v>
      </c>
      <c r="B20" t="s">
        <v>104</v>
      </c>
      <c r="C20" t="s">
        <v>156</v>
      </c>
    </row>
    <row r="21" spans="1:3">
      <c r="A21" t="s">
        <v>87</v>
      </c>
      <c r="B21" t="s">
        <v>104</v>
      </c>
      <c r="C21" t="s">
        <v>156</v>
      </c>
    </row>
    <row r="22" spans="1:3">
      <c r="A22" t="s">
        <v>88</v>
      </c>
      <c r="B22" t="s">
        <v>104</v>
      </c>
      <c r="C22" t="s">
        <v>156</v>
      </c>
    </row>
    <row r="23" spans="1:3">
      <c r="A23" t="s">
        <v>89</v>
      </c>
      <c r="B23" t="s">
        <v>104</v>
      </c>
      <c r="C23" t="s">
        <v>156</v>
      </c>
    </row>
    <row r="24" spans="1:3">
      <c r="A24" t="s">
        <v>90</v>
      </c>
      <c r="B24" t="s">
        <v>104</v>
      </c>
      <c r="C24" t="s">
        <v>156</v>
      </c>
    </row>
    <row r="25" spans="1:3">
      <c r="A25" t="s">
        <v>91</v>
      </c>
      <c r="B25" t="s">
        <v>104</v>
      </c>
      <c r="C25" t="s">
        <v>156</v>
      </c>
    </row>
    <row r="26" spans="1:3">
      <c r="A26" t="s">
        <v>92</v>
      </c>
      <c r="B26" t="s">
        <v>104</v>
      </c>
      <c r="C26" t="s">
        <v>156</v>
      </c>
    </row>
    <row r="27" spans="1:3">
      <c r="A27" t="s">
        <v>93</v>
      </c>
      <c r="B27" t="s">
        <v>104</v>
      </c>
      <c r="C27" t="s">
        <v>156</v>
      </c>
    </row>
    <row r="28" spans="1:3">
      <c r="A28" t="s">
        <v>94</v>
      </c>
      <c r="B28" t="s">
        <v>104</v>
      </c>
      <c r="C28" t="s">
        <v>156</v>
      </c>
    </row>
    <row r="29" spans="1:3">
      <c r="A29" t="s">
        <v>95</v>
      </c>
      <c r="B29" t="s">
        <v>104</v>
      </c>
      <c r="C29" t="s">
        <v>156</v>
      </c>
    </row>
    <row r="30" spans="1:3">
      <c r="A30" t="s">
        <v>96</v>
      </c>
      <c r="B30" t="s">
        <v>104</v>
      </c>
      <c r="C30" t="s">
        <v>156</v>
      </c>
    </row>
    <row r="31" spans="1:3">
      <c r="A31" t="s">
        <v>97</v>
      </c>
      <c r="B31" t="s">
        <v>104</v>
      </c>
      <c r="C31" t="s">
        <v>156</v>
      </c>
    </row>
    <row r="32" spans="1:3">
      <c r="A32" t="s">
        <v>98</v>
      </c>
      <c r="B32" t="s">
        <v>104</v>
      </c>
      <c r="C32" t="s">
        <v>156</v>
      </c>
    </row>
    <row r="33" spans="1:3">
      <c r="A33" t="s">
        <v>99</v>
      </c>
      <c r="B33" t="s">
        <v>104</v>
      </c>
      <c r="C33" t="s">
        <v>156</v>
      </c>
    </row>
    <row r="34" spans="1:3">
      <c r="A34" t="s">
        <v>100</v>
      </c>
      <c r="B34" t="s">
        <v>104</v>
      </c>
      <c r="C34" t="s">
        <v>156</v>
      </c>
    </row>
    <row r="35" spans="1:3">
      <c r="A35" t="s">
        <v>101</v>
      </c>
      <c r="B35" t="s">
        <v>104</v>
      </c>
      <c r="C35" t="s">
        <v>156</v>
      </c>
    </row>
    <row r="36" spans="1:3">
      <c r="A36" t="s">
        <v>102</v>
      </c>
      <c r="B36" t="s">
        <v>104</v>
      </c>
      <c r="C36" t="s">
        <v>156</v>
      </c>
    </row>
    <row r="37" spans="1:3">
      <c r="A37" t="s">
        <v>103</v>
      </c>
      <c r="B37" t="s">
        <v>104</v>
      </c>
      <c r="C37" t="s">
        <v>156</v>
      </c>
    </row>
  </sheetData>
  <mergeCells count="1">
    <mergeCell ref="A5:C5"/>
  </mergeCells>
  <phoneticPr fontId="5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C27FEB-0949-4523-8ACE-6A67A7590785}">
          <x14:formula1>
            <xm:f>Hidden_Lists!$F$2:$F$30</xm:f>
          </x14:formula1>
          <xm:sqref>B10:B781</xm:sqref>
        </x14:dataValidation>
        <x14:dataValidation type="list" allowBlank="1" showInputMessage="1" showErrorMessage="1" xr:uid="{A494BDDA-2F79-41E4-AA46-988844948CFD}">
          <x14:formula1>
            <xm:f>Basics!$F$10:$F$202</xm:f>
          </x14:formula1>
          <xm:sqref>C166:C1107</xm:sqref>
        </x14:dataValidation>
        <x14:dataValidation type="list" allowBlank="1" showInputMessage="1" showErrorMessage="1" xr:uid="{12DB46A2-6060-4A34-85F0-762BFF0F1C9A}">
          <x14:formula1>
            <xm:f>Basics!$F$10:$F$100</xm:f>
          </x14:formula1>
          <xm:sqref>C38:C165</xm:sqref>
        </x14:dataValidation>
        <x14:dataValidation type="list" allowBlank="1" showInputMessage="1" showErrorMessage="1" xr:uid="{2ABC38E8-74A5-4DDA-9343-529BA5664FEF}">
          <x14:formula1>
            <xm:f>Basics!$E$10:$E$100</xm:f>
          </x14:formula1>
          <xm:sqref>C10:C37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7F3F-ED5C-4C8A-83D2-7249FAD076E7}">
  <sheetPr>
    <tabColor rgb="FF92D050"/>
  </sheetPr>
  <dimension ref="A5:O60"/>
  <sheetViews>
    <sheetView workbookViewId="0">
      <selection activeCell="G20" sqref="G20"/>
    </sheetView>
  </sheetViews>
  <sheetFormatPr baseColWidth="10" defaultRowHeight="13.7"/>
  <cols>
    <col min="1" max="1" width="25.44140625" customWidth="1"/>
    <col min="2" max="2" width="31.21875" customWidth="1"/>
    <col min="3" max="3" width="46.27734375" customWidth="1"/>
    <col min="4" max="4" width="23.6640625" bestFit="1" customWidth="1"/>
    <col min="5" max="5" width="21.6640625" style="8" bestFit="1" customWidth="1"/>
    <col min="6" max="6" width="19.88671875" bestFit="1" customWidth="1"/>
    <col min="7" max="7" width="31.71875" customWidth="1"/>
    <col min="8" max="8" width="23.109375" bestFit="1" customWidth="1"/>
    <col min="9" max="9" width="21.6640625" bestFit="1" customWidth="1"/>
    <col min="10" max="10" width="23.5546875" bestFit="1" customWidth="1"/>
    <col min="11" max="11" width="29.77734375" customWidth="1"/>
  </cols>
  <sheetData>
    <row r="5" spans="1:15" ht="20">
      <c r="A5" s="16" t="s">
        <v>164</v>
      </c>
      <c r="B5" s="17"/>
      <c r="C5" s="17"/>
      <c r="D5" s="16"/>
      <c r="E5" s="17"/>
      <c r="F5" s="17"/>
      <c r="G5" s="17"/>
      <c r="H5" s="17"/>
      <c r="I5" s="16"/>
      <c r="J5" s="17"/>
    </row>
    <row r="7" spans="1:15">
      <c r="A7" t="s">
        <v>160</v>
      </c>
    </row>
    <row r="8" spans="1:15">
      <c r="A8" s="27" t="s">
        <v>144</v>
      </c>
    </row>
    <row r="9" spans="1:15" s="3" customFormat="1" ht="17.7">
      <c r="A9" s="23" t="s">
        <v>145</v>
      </c>
      <c r="B9" s="23"/>
    </row>
    <row r="11" spans="1:15" ht="15.35">
      <c r="A11" s="20" t="s">
        <v>143</v>
      </c>
      <c r="B11" s="21" t="str">
        <f>Basics!H1 &amp; " AddOn " &amp; Basics!H2</f>
        <v>MassPrep® AddOn TDM Series A</v>
      </c>
      <c r="L11" s="2"/>
      <c r="M11" s="2"/>
      <c r="N11" s="2"/>
      <c r="O11" s="2"/>
    </row>
    <row r="12" spans="1:15" ht="15.35">
      <c r="A12" s="20" t="s">
        <v>137</v>
      </c>
      <c r="B12" s="22">
        <f>Basics!H3</f>
        <v>42952</v>
      </c>
    </row>
    <row r="13" spans="1:15" ht="15.35">
      <c r="A13" s="2"/>
    </row>
    <row r="15" spans="1:15">
      <c r="F15" t="str">
        <f>IF(E15&lt;&gt;"",_xlfn.XLOOKUP(E15, Basics!F13:F93, Basics!D13:D93) &amp; "-A","")</f>
        <v/>
      </c>
      <c r="G15" t="str">
        <f>IF(E15&lt;&gt;"",Basics!$B$1 &amp; " " &amp; 'AddOn CheckList'!E15 &amp; " automated","")</f>
        <v/>
      </c>
    </row>
    <row r="16" spans="1:15" ht="17.7">
      <c r="A16" s="24" t="s">
        <v>166</v>
      </c>
      <c r="B16" s="23"/>
      <c r="C16" s="23"/>
      <c r="D16" s="23"/>
      <c r="E16" s="23"/>
      <c r="F16" s="23"/>
      <c r="G16" s="23"/>
    </row>
    <row r="17" spans="1:7">
      <c r="A17" s="8"/>
      <c r="E17"/>
    </row>
    <row r="18" spans="1:7" ht="15.35">
      <c r="A18" s="2" t="s">
        <v>165</v>
      </c>
      <c r="B18" s="2" t="s">
        <v>149</v>
      </c>
      <c r="C18" s="2" t="s">
        <v>163</v>
      </c>
      <c r="D18" s="2" t="s">
        <v>159</v>
      </c>
      <c r="E18" s="2" t="s">
        <v>147</v>
      </c>
      <c r="F18" s="2" t="s">
        <v>148</v>
      </c>
      <c r="G18" s="2" t="s">
        <v>150</v>
      </c>
    </row>
    <row r="19" spans="1:7">
      <c r="A19" s="8" t="str" cm="1">
        <f t="array" ref="A19:A21">IFERROR(_xlfn._xlws.SORT(_xlfn.UNIQUE(_xlfn._xlws.FILTER(Basics!F10:F90,(Basics!F10:F90&lt;&gt;"Basic Kit")*(Basics!F10:F90&lt;&gt;"")))),"No Assays found!")</f>
        <v>Antidepressants 1/EXTENDED</v>
      </c>
      <c r="B19" t="str">
        <f>IF(A19&lt;&gt;"",_xlfn.XLOOKUP(A19, Basics!F10:F90, Basics!D10:D90) &amp; "-A","")</f>
        <v>92913-XT-A</v>
      </c>
      <c r="C19" t="str">
        <f>IF(A19&lt;&gt;"",Basics!$B$1 &amp; " " &amp; 'AddOn CheckList'!A19 &amp; " automated","")</f>
        <v>MassTox® Antidepressants 1/EXTENDED automated</v>
      </c>
      <c r="D19" t="str">
        <f>IF(A19&lt;&gt;"",_xlfn.XLOOKUP(A19, Basics!F10:F90, Basics!E10:E90) &amp; "-A","")</f>
        <v>AD1-XT-A</v>
      </c>
      <c r="E19" t="str">
        <f>IF(A19&lt;&gt;"",Basics!$H$1,"")</f>
        <v>MassPrep®</v>
      </c>
      <c r="F19" t="str">
        <f>IF(A19&lt;&gt;"",Basics!$H$2,"")</f>
        <v>TDM Series A</v>
      </c>
      <c r="G19" t="str">
        <f>IF(A19&lt;&gt;"",A19,"")</f>
        <v>Antidepressants 1/EXTENDED</v>
      </c>
    </row>
    <row r="20" spans="1:7">
      <c r="A20" s="8" t="str">
        <v>Antiepileptic Drugs XT2</v>
      </c>
      <c r="B20" t="str">
        <f>IF(A20&lt;&gt;"",_xlfn.XLOOKUP(A20, Basics!F11:F91, Basics!D11:D91) &amp; "-A","")</f>
        <v>92921-XT2-A</v>
      </c>
      <c r="C20" t="str">
        <f>IF(A20&lt;&gt;"",Basics!$B$1 &amp; " " &amp; 'AddOn CheckList'!A20 &amp; " automated","")</f>
        <v>MassTox® Antiepileptic Drugs XT2 automated</v>
      </c>
      <c r="D20" t="str">
        <f>IF(A20&lt;&gt;"",_xlfn.XLOOKUP(A20, Basics!F11:F91, Basics!E11:E91) &amp; "-A","")</f>
        <v>AED-XT2-A</v>
      </c>
      <c r="E20" t="str">
        <f>IF(A20&lt;&gt;"",Basics!$H$1,"")</f>
        <v>MassPrep®</v>
      </c>
      <c r="F20" t="str">
        <f>IF(A20&lt;&gt;"",Basics!$H$2,"")</f>
        <v>TDM Series A</v>
      </c>
      <c r="G20" t="str">
        <f>IF(A20&lt;&gt;"",A20,"")</f>
        <v>Antiepileptic Drugs XT2</v>
      </c>
    </row>
    <row r="21" spans="1:7">
      <c r="A21" s="8" t="str">
        <v>Neuroleptics 2/EXTENDED 2</v>
      </c>
      <c r="B21" t="str">
        <f>IF(A21&lt;&gt;"",_xlfn.XLOOKUP(A21, Basics!F12:F92, Basics!D12:D92) &amp; "-A","")</f>
        <v>92714-XT2-A</v>
      </c>
      <c r="C21" t="str">
        <f>IF(A21&lt;&gt;"",Basics!$B$1 &amp; " " &amp; 'AddOn CheckList'!A21 &amp; " automated","")</f>
        <v>MassTox® Neuroleptics 2/EXTENDED 2 automated</v>
      </c>
      <c r="D21" t="str">
        <f>IF(A21&lt;&gt;"",_xlfn.XLOOKUP(A21, Basics!F12:F92, Basics!E12:E92) &amp; "-A","")</f>
        <v>NL2-XT2-A</v>
      </c>
      <c r="E21" t="str">
        <f>IF(A21&lt;&gt;"",Basics!$H$1,"")</f>
        <v>MassPrep®</v>
      </c>
      <c r="F21" t="str">
        <f>IF(A21&lt;&gt;"",Basics!$H$2,"")</f>
        <v>TDM Series A</v>
      </c>
      <c r="G21" t="str">
        <f>IF(A21&lt;&gt;"",A21,"")</f>
        <v>Neuroleptics 2/EXTENDED 2</v>
      </c>
    </row>
    <row r="22" spans="1:7">
      <c r="A22" s="8"/>
      <c r="B22" t="str">
        <f>IF(A22&lt;&gt;"",_xlfn.XLOOKUP(A22, Basics!F13:F93, Basics!D13:D93) &amp; "-A","")</f>
        <v/>
      </c>
      <c r="C22" t="str">
        <f>IF(A22&lt;&gt;"",Basics!$B$1 &amp; " " &amp; 'AddOn CheckList'!A22 &amp; " automated","")</f>
        <v/>
      </c>
      <c r="D22" t="str">
        <f>IF(A22&lt;&gt;"",_xlfn.XLOOKUP(A22, Basics!F13:F93, Basics!E13:E93) &amp; "-A","")</f>
        <v/>
      </c>
      <c r="E22" t="str">
        <f>IF(A22&lt;&gt;"",Basics!$H$1,"")</f>
        <v/>
      </c>
      <c r="F22" t="str">
        <f>IF(A22&lt;&gt;"",Basics!$H$2,"")</f>
        <v/>
      </c>
      <c r="G22" t="str">
        <f t="shared" ref="G22:G60" si="0">IF(A22&lt;&gt;"",A22,"")</f>
        <v/>
      </c>
    </row>
    <row r="23" spans="1:7">
      <c r="A23" s="8"/>
      <c r="B23" t="str">
        <f>IF(A23&lt;&gt;"",_xlfn.XLOOKUP(A23, Basics!F14:F94, Basics!D14:D94) &amp; "-A","")</f>
        <v/>
      </c>
      <c r="C23" t="str">
        <f>IF(A23&lt;&gt;"",Basics!$B$1 &amp; " " &amp; 'AddOn CheckList'!A23 &amp; " automated","")</f>
        <v/>
      </c>
      <c r="D23" t="str">
        <f>IF(A23&lt;&gt;"",_xlfn.XLOOKUP(A23, Basics!F14:F94, Basics!E14:E94) &amp; "-A","")</f>
        <v/>
      </c>
      <c r="E23" t="str">
        <f>IF(A23&lt;&gt;"",Basics!$H$1,"")</f>
        <v/>
      </c>
      <c r="F23" t="str">
        <f>IF(A23&lt;&gt;"",Basics!$H$2,"")</f>
        <v/>
      </c>
      <c r="G23" t="str">
        <f t="shared" si="0"/>
        <v/>
      </c>
    </row>
    <row r="24" spans="1:7">
      <c r="A24" s="8"/>
      <c r="B24" t="str">
        <f>IF(A24&lt;&gt;"",_xlfn.XLOOKUP(A24, Basics!F15:F95, Basics!D15:D95) &amp; "-A","")</f>
        <v/>
      </c>
      <c r="C24" t="str">
        <f>IF(A24&lt;&gt;"",Basics!$B$1 &amp; " " &amp; 'AddOn CheckList'!A24 &amp; " automated","")</f>
        <v/>
      </c>
      <c r="D24" t="str">
        <f>IF(A24&lt;&gt;"",_xlfn.XLOOKUP(A24, Basics!F15:F95, Basics!E15:E95) &amp; "-A","")</f>
        <v/>
      </c>
      <c r="E24" t="str">
        <f>IF(A24&lt;&gt;"",Basics!$H$1,"")</f>
        <v/>
      </c>
      <c r="F24" t="str">
        <f>IF(A24&lt;&gt;"",Basics!$H$2,"")</f>
        <v/>
      </c>
      <c r="G24" t="str">
        <f t="shared" si="0"/>
        <v/>
      </c>
    </row>
    <row r="25" spans="1:7">
      <c r="A25" s="8"/>
      <c r="B25" t="str">
        <f>IF(A25&lt;&gt;"",_xlfn.XLOOKUP(A25, Basics!F16:F96, Basics!D16:D96) &amp; "-A","")</f>
        <v/>
      </c>
      <c r="C25" t="str">
        <f>IF(A25&lt;&gt;"",Basics!$B$1 &amp; " " &amp; 'AddOn CheckList'!A25 &amp; " automated","")</f>
        <v/>
      </c>
      <c r="D25" t="str">
        <f>IF(A25&lt;&gt;"",_xlfn.XLOOKUP(A25, Basics!F16:F96, Basics!E16:E96) &amp; "-A","")</f>
        <v/>
      </c>
      <c r="E25" t="str">
        <f>IF(A25&lt;&gt;"",Basics!$H$1,"")</f>
        <v/>
      </c>
      <c r="F25" t="str">
        <f>IF(A25&lt;&gt;"",Basics!$H$2,"")</f>
        <v/>
      </c>
      <c r="G25" t="str">
        <f t="shared" si="0"/>
        <v/>
      </c>
    </row>
    <row r="26" spans="1:7">
      <c r="A26" s="8"/>
      <c r="B26" t="str">
        <f>IF(A26&lt;&gt;"",_xlfn.XLOOKUP(A26, Basics!F17:F97, Basics!D17:D97) &amp; "-A","")</f>
        <v/>
      </c>
      <c r="C26" t="str">
        <f>IF(A26&lt;&gt;"",Basics!$B$1 &amp; " " &amp; 'AddOn CheckList'!A26 &amp; " automated","")</f>
        <v/>
      </c>
      <c r="D26" t="str">
        <f>IF(A26&lt;&gt;"",_xlfn.XLOOKUP(A26, Basics!F17:F97, Basics!E17:E97) &amp; "-A","")</f>
        <v/>
      </c>
      <c r="E26" t="str">
        <f>IF(A26&lt;&gt;"",Basics!$H$1,"")</f>
        <v/>
      </c>
      <c r="F26" t="str">
        <f>IF(A26&lt;&gt;"",Basics!$H$2,"")</f>
        <v/>
      </c>
      <c r="G26" t="str">
        <f t="shared" si="0"/>
        <v/>
      </c>
    </row>
    <row r="27" spans="1:7">
      <c r="A27" s="8"/>
      <c r="B27" t="str">
        <f>IF(A27&lt;&gt;"",_xlfn.XLOOKUP(A27, Basics!F18:F98, Basics!D18:D98) &amp; "-A","")</f>
        <v/>
      </c>
      <c r="C27" t="str">
        <f>IF(A27&lt;&gt;"",Basics!$B$1 &amp; " " &amp; 'AddOn CheckList'!A27 &amp; " automated","")</f>
        <v/>
      </c>
      <c r="D27" t="str">
        <f>IF(A27&lt;&gt;"",_xlfn.XLOOKUP(A27, Basics!F18:F98, Basics!E18:E98) &amp; "-A","")</f>
        <v/>
      </c>
      <c r="E27" t="str">
        <f>IF(A27&lt;&gt;"",Basics!$H$1,"")</f>
        <v/>
      </c>
      <c r="F27" t="str">
        <f>IF(A27&lt;&gt;"",Basics!$H$2,"")</f>
        <v/>
      </c>
      <c r="G27" t="str">
        <f t="shared" si="0"/>
        <v/>
      </c>
    </row>
    <row r="28" spans="1:7">
      <c r="A28" s="8"/>
      <c r="B28" t="str">
        <f>IF(A28&lt;&gt;"",_xlfn.XLOOKUP(A28, Basics!F19:F99, Basics!D19:D99) &amp; "-A","")</f>
        <v/>
      </c>
      <c r="C28" t="str">
        <f>IF(A28&lt;&gt;"",Basics!$B$1 &amp; " " &amp; 'AddOn CheckList'!A28 &amp; " automated","")</f>
        <v/>
      </c>
      <c r="D28" t="str">
        <f>IF(A28&lt;&gt;"",_xlfn.XLOOKUP(A28, Basics!F19:F99, Basics!E19:E99) &amp; "-A","")</f>
        <v/>
      </c>
      <c r="E28" t="str">
        <f>IF(A28&lt;&gt;"",Basics!$H$1,"")</f>
        <v/>
      </c>
      <c r="F28" t="str">
        <f>IF(A28&lt;&gt;"",Basics!$H$2,"")</f>
        <v/>
      </c>
      <c r="G28" t="str">
        <f t="shared" si="0"/>
        <v/>
      </c>
    </row>
    <row r="29" spans="1:7">
      <c r="A29" s="8"/>
      <c r="B29" t="str">
        <f>IF(A29&lt;&gt;"",_xlfn.XLOOKUP(A29, Basics!F20:F100, Basics!D20:D100) &amp; "-A","")</f>
        <v/>
      </c>
      <c r="C29" t="str">
        <f>IF(A29&lt;&gt;"",Basics!$B$1 &amp; " " &amp; 'AddOn CheckList'!A29 &amp; " automated","")</f>
        <v/>
      </c>
      <c r="D29" t="str">
        <f>IF(A29&lt;&gt;"",_xlfn.XLOOKUP(A29, Basics!F20:F100, Basics!E20:E100) &amp; "-A","")</f>
        <v/>
      </c>
      <c r="E29" t="str">
        <f>IF(A29&lt;&gt;"",Basics!$H$1,"")</f>
        <v/>
      </c>
      <c r="F29" t="str">
        <f>IF(A29&lt;&gt;"",Basics!$H$2,"")</f>
        <v/>
      </c>
      <c r="G29" t="str">
        <f t="shared" si="0"/>
        <v/>
      </c>
    </row>
    <row r="30" spans="1:7">
      <c r="A30" s="8"/>
      <c r="B30" t="str">
        <f>IF(A30&lt;&gt;"",_xlfn.XLOOKUP(A30, Basics!F21:F101, Basics!D21:D101) &amp; "-A","")</f>
        <v/>
      </c>
      <c r="C30" t="str">
        <f>IF(A30&lt;&gt;"",Basics!$B$1 &amp; " " &amp; 'AddOn CheckList'!A30 &amp; " automated","")</f>
        <v/>
      </c>
      <c r="D30" t="str">
        <f>IF(A30&lt;&gt;"",_xlfn.XLOOKUP(A30, Basics!F21:F101, Basics!E21:E101) &amp; "-A","")</f>
        <v/>
      </c>
      <c r="E30" t="str">
        <f>IF(A30&lt;&gt;"",Basics!$H$1,"")</f>
        <v/>
      </c>
      <c r="F30" t="str">
        <f>IF(A30&lt;&gt;"",Basics!$H$2,"")</f>
        <v/>
      </c>
      <c r="G30" t="str">
        <f t="shared" si="0"/>
        <v/>
      </c>
    </row>
    <row r="31" spans="1:7">
      <c r="A31" s="8"/>
      <c r="B31" t="str">
        <f>IF(A31&lt;&gt;"",_xlfn.XLOOKUP(A31, Basics!F22:F102, Basics!D22:D102) &amp; "-A","")</f>
        <v/>
      </c>
      <c r="C31" t="str">
        <f>IF(A31&lt;&gt;"",Basics!$B$1 &amp; " " &amp; 'AddOn CheckList'!A31 &amp; " automated","")</f>
        <v/>
      </c>
      <c r="D31" t="str">
        <f>IF(A31&lt;&gt;"",_xlfn.XLOOKUP(A31, Basics!F22:F102, Basics!E22:E102) &amp; "-A","")</f>
        <v/>
      </c>
      <c r="E31" t="str">
        <f>IF(A31&lt;&gt;"",Basics!$H$1,"")</f>
        <v/>
      </c>
      <c r="F31" t="str">
        <f>IF(A31&lt;&gt;"",Basics!$H$2,"")</f>
        <v/>
      </c>
      <c r="G31" t="str">
        <f t="shared" si="0"/>
        <v/>
      </c>
    </row>
    <row r="32" spans="1:7">
      <c r="A32" s="8"/>
      <c r="B32" t="str">
        <f>IF(A32&lt;&gt;"",_xlfn.XLOOKUP(A32, Basics!F23:F103, Basics!D23:D103) &amp; "-A","")</f>
        <v/>
      </c>
      <c r="C32" t="str">
        <f>IF(A32&lt;&gt;"",Basics!$B$1 &amp; " " &amp; 'AddOn CheckList'!A32 &amp; " automated","")</f>
        <v/>
      </c>
      <c r="D32" t="str">
        <f>IF(A32&lt;&gt;"",_xlfn.XLOOKUP(A32, Basics!F23:F103, Basics!E23:E103) &amp; "-A","")</f>
        <v/>
      </c>
      <c r="E32" t="str">
        <f>IF(A32&lt;&gt;"",Basics!$H$1,"")</f>
        <v/>
      </c>
      <c r="F32" t="str">
        <f>IF(A32&lt;&gt;"",Basics!$H$2,"")</f>
        <v/>
      </c>
      <c r="G32" t="str">
        <f t="shared" si="0"/>
        <v/>
      </c>
    </row>
    <row r="33" spans="1:7">
      <c r="A33" s="8"/>
      <c r="B33" t="str">
        <f>IF(A33&lt;&gt;"",_xlfn.XLOOKUP(A33, Basics!F24:F104, Basics!D24:D104) &amp; "-A","")</f>
        <v/>
      </c>
      <c r="C33" t="str">
        <f>IF(A33&lt;&gt;"",Basics!$B$1 &amp; " " &amp; 'AddOn CheckList'!A33 &amp; " automated","")</f>
        <v/>
      </c>
      <c r="D33" t="str">
        <f>IF(A33&lt;&gt;"",_xlfn.XLOOKUP(A33, Basics!F24:F104, Basics!E24:E104) &amp; "-A","")</f>
        <v/>
      </c>
      <c r="E33" t="str">
        <f>IF(A33&lt;&gt;"",Basics!$H$1,"")</f>
        <v/>
      </c>
      <c r="F33" t="str">
        <f>IF(A33&lt;&gt;"",Basics!$H$2,"")</f>
        <v/>
      </c>
      <c r="G33" t="str">
        <f t="shared" si="0"/>
        <v/>
      </c>
    </row>
    <row r="34" spans="1:7">
      <c r="A34" s="8"/>
      <c r="B34" t="str">
        <f>IF(A34&lt;&gt;"",_xlfn.XLOOKUP(A34, Basics!F25:F105, Basics!D25:D105) &amp; "-A","")</f>
        <v/>
      </c>
      <c r="C34" t="str">
        <f>IF(A34&lt;&gt;"",Basics!$B$1 &amp; " " &amp; 'AddOn CheckList'!A34 &amp; " automated","")</f>
        <v/>
      </c>
      <c r="D34" t="str">
        <f>IF(A34&lt;&gt;"",_xlfn.XLOOKUP(A34, Basics!F25:F105, Basics!E25:E105) &amp; "-A","")</f>
        <v/>
      </c>
      <c r="E34" t="str">
        <f>IF(A34&lt;&gt;"",Basics!$H$1,"")</f>
        <v/>
      </c>
      <c r="F34" t="str">
        <f>IF(A34&lt;&gt;"",Basics!$H$2,"")</f>
        <v/>
      </c>
      <c r="G34" t="str">
        <f t="shared" si="0"/>
        <v/>
      </c>
    </row>
    <row r="35" spans="1:7">
      <c r="A35" s="8"/>
      <c r="B35" t="str">
        <f>IF(A35&lt;&gt;"",_xlfn.XLOOKUP(A35, Basics!F26:F106, Basics!D26:D106) &amp; "-A","")</f>
        <v/>
      </c>
      <c r="C35" t="str">
        <f>IF(A35&lt;&gt;"",Basics!$B$1 &amp; " " &amp; 'AddOn CheckList'!A35 &amp; " automated","")</f>
        <v/>
      </c>
      <c r="D35" t="str">
        <f>IF(A35&lt;&gt;"",_xlfn.XLOOKUP(A35, Basics!F26:F106, Basics!E26:E106) &amp; "-A","")</f>
        <v/>
      </c>
      <c r="E35" t="str">
        <f>IF(A35&lt;&gt;"",Basics!$H$1,"")</f>
        <v/>
      </c>
      <c r="F35" t="str">
        <f>IF(A35&lt;&gt;"",Basics!$H$2,"")</f>
        <v/>
      </c>
      <c r="G35" t="str">
        <f t="shared" si="0"/>
        <v/>
      </c>
    </row>
    <row r="36" spans="1:7">
      <c r="A36" s="8"/>
      <c r="B36" t="str">
        <f>IF(A36&lt;&gt;"",_xlfn.XLOOKUP(A36, Basics!F27:F107, Basics!D27:D107) &amp; "-A","")</f>
        <v/>
      </c>
      <c r="C36" t="str">
        <f>IF(A36&lt;&gt;"",Basics!$B$1 &amp; " " &amp; 'AddOn CheckList'!A36 &amp; " automated","")</f>
        <v/>
      </c>
      <c r="D36" t="str">
        <f>IF(A36&lt;&gt;"",_xlfn.XLOOKUP(A36, Basics!F27:F107, Basics!E27:E107) &amp; "-A","")</f>
        <v/>
      </c>
      <c r="E36" t="str">
        <f>IF(A36&lt;&gt;"",Basics!$H$1,"")</f>
        <v/>
      </c>
      <c r="F36" t="str">
        <f>IF(A36&lt;&gt;"",Basics!$H$2,"")</f>
        <v/>
      </c>
      <c r="G36" t="str">
        <f t="shared" si="0"/>
        <v/>
      </c>
    </row>
    <row r="37" spans="1:7">
      <c r="A37" s="8"/>
      <c r="B37" t="str">
        <f>IF(A37&lt;&gt;"",_xlfn.XLOOKUP(A37, Basics!F28:F108, Basics!D28:D108) &amp; "-A","")</f>
        <v/>
      </c>
      <c r="C37" t="str">
        <f>IF(A37&lt;&gt;"",Basics!$B$1 &amp; " " &amp; 'AddOn CheckList'!A37 &amp; " automated","")</f>
        <v/>
      </c>
      <c r="D37" t="str">
        <f>IF(A37&lt;&gt;"",_xlfn.XLOOKUP(A37, Basics!F28:F108, Basics!E28:E108) &amp; "-A","")</f>
        <v/>
      </c>
      <c r="E37" t="str">
        <f>IF(A37&lt;&gt;"",Basics!$H$1,"")</f>
        <v/>
      </c>
      <c r="F37" t="str">
        <f>IF(A37&lt;&gt;"",Basics!$H$2,"")</f>
        <v/>
      </c>
      <c r="G37" t="str">
        <f t="shared" si="0"/>
        <v/>
      </c>
    </row>
    <row r="38" spans="1:7">
      <c r="A38" s="8"/>
      <c r="B38" t="str">
        <f>IF(A38&lt;&gt;"",_xlfn.XLOOKUP(A38, Basics!F29:F109, Basics!D29:D109) &amp; "-A","")</f>
        <v/>
      </c>
      <c r="C38" t="str">
        <f>IF(A38&lt;&gt;"",Basics!$B$1 &amp; " " &amp; 'AddOn CheckList'!A38 &amp; " automated","")</f>
        <v/>
      </c>
      <c r="D38" t="str">
        <f>IF(A38&lt;&gt;"",_xlfn.XLOOKUP(A38, Basics!F29:F109, Basics!E29:E109) &amp; "-A","")</f>
        <v/>
      </c>
      <c r="E38" t="str">
        <f>IF(A38&lt;&gt;"",Basics!$H$1,"")</f>
        <v/>
      </c>
      <c r="F38" t="str">
        <f>IF(A38&lt;&gt;"",Basics!$H$2,"")</f>
        <v/>
      </c>
      <c r="G38" t="str">
        <f t="shared" si="0"/>
        <v/>
      </c>
    </row>
    <row r="39" spans="1:7">
      <c r="A39" s="8"/>
      <c r="B39" t="str">
        <f>IF(A39&lt;&gt;"",_xlfn.XLOOKUP(A39, Basics!F30:F110, Basics!D30:D110) &amp; "-A","")</f>
        <v/>
      </c>
      <c r="C39" t="str">
        <f>IF(A39&lt;&gt;"",Basics!$B$1 &amp; " " &amp; 'AddOn CheckList'!A39 &amp; " automated","")</f>
        <v/>
      </c>
      <c r="D39" t="str">
        <f>IF(A39&lt;&gt;"",_xlfn.XLOOKUP(A39, Basics!F30:F110, Basics!E30:E110) &amp; "-A","")</f>
        <v/>
      </c>
      <c r="E39" t="str">
        <f>IF(A39&lt;&gt;"",Basics!$H$1,"")</f>
        <v/>
      </c>
      <c r="F39" t="str">
        <f>IF(A39&lt;&gt;"",Basics!$H$2,"")</f>
        <v/>
      </c>
      <c r="G39" t="str">
        <f t="shared" si="0"/>
        <v/>
      </c>
    </row>
    <row r="40" spans="1:7">
      <c r="A40" s="8"/>
      <c r="B40" t="str">
        <f>IF(A40&lt;&gt;"",_xlfn.XLOOKUP(A40, Basics!F31:F111, Basics!D31:D111) &amp; "-A","")</f>
        <v/>
      </c>
      <c r="C40" t="str">
        <f>IF(A40&lt;&gt;"",Basics!$B$1 &amp; " " &amp; 'AddOn CheckList'!A40 &amp; " automated","")</f>
        <v/>
      </c>
      <c r="D40" t="str">
        <f>IF(A40&lt;&gt;"",_xlfn.XLOOKUP(A40, Basics!F31:F111, Basics!E31:E111) &amp; "-A","")</f>
        <v/>
      </c>
      <c r="E40" t="str">
        <f>IF(A40&lt;&gt;"",Basics!$H$1,"")</f>
        <v/>
      </c>
      <c r="F40" t="str">
        <f>IF(A40&lt;&gt;"",Basics!$H$2,"")</f>
        <v/>
      </c>
      <c r="G40" t="str">
        <f t="shared" si="0"/>
        <v/>
      </c>
    </row>
    <row r="41" spans="1:7">
      <c r="A41" s="8"/>
      <c r="B41" t="str">
        <f>IF(A41&lt;&gt;"",_xlfn.XLOOKUP(A41, Basics!F32:F112, Basics!D32:D112) &amp; "-A","")</f>
        <v/>
      </c>
      <c r="C41" t="str">
        <f>IF(A41&lt;&gt;"",Basics!$B$1 &amp; " " &amp; 'AddOn CheckList'!A41 &amp; " automated","")</f>
        <v/>
      </c>
      <c r="D41" t="str">
        <f>IF(A41&lt;&gt;"",_xlfn.XLOOKUP(A41, Basics!F32:F112, Basics!E32:E112) &amp; "-A","")</f>
        <v/>
      </c>
      <c r="E41" t="str">
        <f>IF(A41&lt;&gt;"",Basics!$H$1,"")</f>
        <v/>
      </c>
      <c r="F41" t="str">
        <f>IF(A41&lt;&gt;"",Basics!$H$2,"")</f>
        <v/>
      </c>
      <c r="G41" t="str">
        <f t="shared" si="0"/>
        <v/>
      </c>
    </row>
    <row r="42" spans="1:7">
      <c r="A42" s="8"/>
      <c r="B42" t="str">
        <f>IF(A42&lt;&gt;"",_xlfn.XLOOKUP(A42, Basics!F33:F113, Basics!D33:D113) &amp; "-A","")</f>
        <v/>
      </c>
      <c r="C42" t="str">
        <f>IF(A42&lt;&gt;"",Basics!$B$1 &amp; " " &amp; 'AddOn CheckList'!A42 &amp; " automated","")</f>
        <v/>
      </c>
      <c r="D42" t="str">
        <f>IF(A42&lt;&gt;"",_xlfn.XLOOKUP(A42, Basics!F33:F113, Basics!E33:E113) &amp; "-A","")</f>
        <v/>
      </c>
      <c r="E42" t="str">
        <f>IF(A42&lt;&gt;"",Basics!$H$1,"")</f>
        <v/>
      </c>
      <c r="F42" t="str">
        <f>IF(A42&lt;&gt;"",Basics!$H$2,"")</f>
        <v/>
      </c>
      <c r="G42" t="str">
        <f t="shared" si="0"/>
        <v/>
      </c>
    </row>
    <row r="43" spans="1:7">
      <c r="A43" s="8"/>
      <c r="B43" t="str">
        <f>IF(A43&lt;&gt;"",_xlfn.XLOOKUP(A43, Basics!F34:F114, Basics!D34:D114) &amp; "-A","")</f>
        <v/>
      </c>
      <c r="C43" t="str">
        <f>IF(A43&lt;&gt;"",Basics!$B$1 &amp; " " &amp; 'AddOn CheckList'!A43 &amp; " automated","")</f>
        <v/>
      </c>
      <c r="D43" t="str">
        <f>IF(A43&lt;&gt;"",_xlfn.XLOOKUP(A43, Basics!F34:F114, Basics!E34:E114) &amp; "-A","")</f>
        <v/>
      </c>
      <c r="E43" t="str">
        <f>IF(A43&lt;&gt;"",Basics!$H$1,"")</f>
        <v/>
      </c>
      <c r="F43" t="str">
        <f>IF(A43&lt;&gt;"",Basics!$H$2,"")</f>
        <v/>
      </c>
      <c r="G43" t="str">
        <f t="shared" si="0"/>
        <v/>
      </c>
    </row>
    <row r="44" spans="1:7">
      <c r="A44" s="8"/>
      <c r="B44" t="str">
        <f>IF(A44&lt;&gt;"",_xlfn.XLOOKUP(A44, Basics!F35:F115, Basics!D35:D115) &amp; "-A","")</f>
        <v/>
      </c>
      <c r="C44" t="str">
        <f>IF(A44&lt;&gt;"",Basics!$B$1 &amp; " " &amp; 'AddOn CheckList'!A44 &amp; " automated","")</f>
        <v/>
      </c>
      <c r="D44" t="str">
        <f>IF(A44&lt;&gt;"",_xlfn.XLOOKUP(A44, Basics!F35:F115, Basics!E35:E115) &amp; "-A","")</f>
        <v/>
      </c>
      <c r="E44" t="str">
        <f>IF(A44&lt;&gt;"",Basics!$H$1,"")</f>
        <v/>
      </c>
      <c r="F44" t="str">
        <f>IF(A44&lt;&gt;"",Basics!$H$2,"")</f>
        <v/>
      </c>
      <c r="G44" t="str">
        <f t="shared" si="0"/>
        <v/>
      </c>
    </row>
    <row r="45" spans="1:7">
      <c r="A45" s="8"/>
      <c r="B45" t="str">
        <f>IF(A45&lt;&gt;"",_xlfn.XLOOKUP(A45, Basics!F36:F116, Basics!D36:D116) &amp; "-A","")</f>
        <v/>
      </c>
      <c r="C45" t="str">
        <f>IF(A45&lt;&gt;"",Basics!$B$1 &amp; " " &amp; 'AddOn CheckList'!A45 &amp; " automated","")</f>
        <v/>
      </c>
      <c r="D45" t="str">
        <f>IF(A45&lt;&gt;"",_xlfn.XLOOKUP(A45, Basics!F36:F116, Basics!E36:E116) &amp; "-A","")</f>
        <v/>
      </c>
      <c r="E45" t="str">
        <f>IF(A45&lt;&gt;"",Basics!$H$1,"")</f>
        <v/>
      </c>
      <c r="F45" t="str">
        <f>IF(A45&lt;&gt;"",Basics!$H$2,"")</f>
        <v/>
      </c>
      <c r="G45" t="str">
        <f t="shared" si="0"/>
        <v/>
      </c>
    </row>
    <row r="46" spans="1:7">
      <c r="A46" s="8"/>
      <c r="B46" t="str">
        <f>IF(A46&lt;&gt;"",_xlfn.XLOOKUP(A46, Basics!F37:F117, Basics!D37:D117) &amp; "-A","")</f>
        <v/>
      </c>
      <c r="C46" t="str">
        <f>IF(A46&lt;&gt;"",Basics!$B$1 &amp; " " &amp; 'AddOn CheckList'!A46 &amp; " automated","")</f>
        <v/>
      </c>
      <c r="D46" t="str">
        <f>IF(A46&lt;&gt;"",_xlfn.XLOOKUP(A46, Basics!F37:F117, Basics!E37:E117) &amp; "-A","")</f>
        <v/>
      </c>
      <c r="E46" t="str">
        <f>IF(A46&lt;&gt;"",Basics!$H$1,"")</f>
        <v/>
      </c>
      <c r="F46" t="str">
        <f>IF(A46&lt;&gt;"",Basics!$H$2,"")</f>
        <v/>
      </c>
      <c r="G46" t="str">
        <f t="shared" si="0"/>
        <v/>
      </c>
    </row>
    <row r="47" spans="1:7">
      <c r="A47" s="8"/>
      <c r="B47" t="str">
        <f>IF(A47&lt;&gt;"",_xlfn.XLOOKUP(A47, Basics!F38:F118, Basics!D38:D118) &amp; "-A","")</f>
        <v/>
      </c>
      <c r="C47" t="str">
        <f>IF(A47&lt;&gt;"",Basics!$B$1 &amp; " " &amp; 'AddOn CheckList'!A47 &amp; " automated","")</f>
        <v/>
      </c>
      <c r="D47" t="str">
        <f>IF(A47&lt;&gt;"",_xlfn.XLOOKUP(A47, Basics!F38:F118, Basics!E38:E118) &amp; "-A","")</f>
        <v/>
      </c>
      <c r="E47" t="str">
        <f>IF(A47&lt;&gt;"",Basics!$H$1,"")</f>
        <v/>
      </c>
      <c r="F47" t="str">
        <f>IF(A47&lt;&gt;"",Basics!$H$2,"")</f>
        <v/>
      </c>
      <c r="G47" t="str">
        <f t="shared" si="0"/>
        <v/>
      </c>
    </row>
    <row r="48" spans="1:7">
      <c r="A48" s="8"/>
      <c r="B48" t="str">
        <f>IF(A48&lt;&gt;"",_xlfn.XLOOKUP(A48, Basics!F39:F119, Basics!D39:D119) &amp; "-A","")</f>
        <v/>
      </c>
      <c r="C48" t="str">
        <f>IF(A48&lt;&gt;"",Basics!$B$1 &amp; " " &amp; 'AddOn CheckList'!A48 &amp; " automated","")</f>
        <v/>
      </c>
      <c r="D48" t="str">
        <f>IF(A48&lt;&gt;"",_xlfn.XLOOKUP(A48, Basics!F39:F119, Basics!E39:E119) &amp; "-A","")</f>
        <v/>
      </c>
      <c r="E48" t="str">
        <f>IF(A48&lt;&gt;"",Basics!$H$1,"")</f>
        <v/>
      </c>
      <c r="F48" t="str">
        <f>IF(A48&lt;&gt;"",Basics!$H$2,"")</f>
        <v/>
      </c>
      <c r="G48" t="str">
        <f t="shared" si="0"/>
        <v/>
      </c>
    </row>
    <row r="49" spans="1:7">
      <c r="A49" s="8"/>
      <c r="B49" t="str">
        <f>IF(A49&lt;&gt;"",_xlfn.XLOOKUP(A49, Basics!F40:F120, Basics!D40:D120) &amp; "-A","")</f>
        <v/>
      </c>
      <c r="C49" t="str">
        <f>IF(A49&lt;&gt;"",Basics!$B$1 &amp; " " &amp; 'AddOn CheckList'!A49 &amp; " automated","")</f>
        <v/>
      </c>
      <c r="D49" t="str">
        <f>IF(A49&lt;&gt;"",_xlfn.XLOOKUP(A49, Basics!F40:F120, Basics!E40:E120) &amp; "-A","")</f>
        <v/>
      </c>
      <c r="E49" t="str">
        <f>IF(A49&lt;&gt;"",Basics!$H$1,"")</f>
        <v/>
      </c>
      <c r="F49" t="str">
        <f>IF(A49&lt;&gt;"",Basics!$H$2,"")</f>
        <v/>
      </c>
      <c r="G49" t="str">
        <f t="shared" si="0"/>
        <v/>
      </c>
    </row>
    <row r="50" spans="1:7">
      <c r="A50" s="8"/>
      <c r="B50" t="str">
        <f>IF(A50&lt;&gt;"",_xlfn.XLOOKUP(A50, Basics!F41:F121, Basics!D41:D121) &amp; "-A","")</f>
        <v/>
      </c>
      <c r="C50" t="str">
        <f>IF(A50&lt;&gt;"",Basics!$B$1 &amp; " " &amp; 'AddOn CheckList'!A50 &amp; " automated","")</f>
        <v/>
      </c>
      <c r="D50" t="str">
        <f>IF(A50&lt;&gt;"",_xlfn.XLOOKUP(A50, Basics!F41:F121, Basics!E41:E121) &amp; "-A","")</f>
        <v/>
      </c>
      <c r="E50" t="str">
        <f>IF(A50&lt;&gt;"",Basics!$H$1,"")</f>
        <v/>
      </c>
      <c r="F50" t="str">
        <f>IF(A50&lt;&gt;"",Basics!$H$2,"")</f>
        <v/>
      </c>
      <c r="G50" t="str">
        <f t="shared" si="0"/>
        <v/>
      </c>
    </row>
    <row r="51" spans="1:7">
      <c r="A51" s="8"/>
      <c r="B51" t="str">
        <f>IF(A51&lt;&gt;"",_xlfn.XLOOKUP(A51, Basics!F42:F122, Basics!D42:D122) &amp; "-A","")</f>
        <v/>
      </c>
      <c r="C51" t="str">
        <f>IF(A51&lt;&gt;"",Basics!$B$1 &amp; " " &amp; 'AddOn CheckList'!A51 &amp; " automated","")</f>
        <v/>
      </c>
      <c r="D51" t="str">
        <f>IF(A51&lt;&gt;"",_xlfn.XLOOKUP(A51, Basics!F42:F122, Basics!E42:E122) &amp; "-A","")</f>
        <v/>
      </c>
      <c r="E51" t="str">
        <f>IF(A51&lt;&gt;"",Basics!$H$1,"")</f>
        <v/>
      </c>
      <c r="F51" t="str">
        <f>IF(A51&lt;&gt;"",Basics!$H$2,"")</f>
        <v/>
      </c>
      <c r="G51" t="str">
        <f t="shared" si="0"/>
        <v/>
      </c>
    </row>
    <row r="52" spans="1:7">
      <c r="A52" s="8"/>
      <c r="B52" t="str">
        <f>IF(A52&lt;&gt;"",_xlfn.XLOOKUP(A52, Basics!F43:F123, Basics!D43:D123) &amp; "-A","")</f>
        <v/>
      </c>
      <c r="C52" t="str">
        <f>IF(A52&lt;&gt;"",Basics!$B$1 &amp; " " &amp; 'AddOn CheckList'!A52 &amp; " automated","")</f>
        <v/>
      </c>
      <c r="D52" t="str">
        <f>IF(A52&lt;&gt;"",_xlfn.XLOOKUP(A52, Basics!F43:F123, Basics!E43:E123) &amp; "-A","")</f>
        <v/>
      </c>
      <c r="E52" t="str">
        <f>IF(A52&lt;&gt;"",Basics!$H$1,"")</f>
        <v/>
      </c>
      <c r="F52" t="str">
        <f>IF(A52&lt;&gt;"",Basics!$H$2,"")</f>
        <v/>
      </c>
      <c r="G52" t="str">
        <f t="shared" si="0"/>
        <v/>
      </c>
    </row>
    <row r="53" spans="1:7">
      <c r="A53" s="8"/>
      <c r="B53" t="str">
        <f>IF(A53&lt;&gt;"",_xlfn.XLOOKUP(A53, Basics!F44:F124, Basics!D44:D124) &amp; "-A","")</f>
        <v/>
      </c>
      <c r="C53" t="str">
        <f>IF(A53&lt;&gt;"",Basics!$B$1 &amp; " " &amp; 'AddOn CheckList'!A53 &amp; " automated","")</f>
        <v/>
      </c>
      <c r="D53" t="str">
        <f>IF(A53&lt;&gt;"",_xlfn.XLOOKUP(A53, Basics!F44:F124, Basics!E44:E124) &amp; "-A","")</f>
        <v/>
      </c>
      <c r="E53" t="str">
        <f>IF(A53&lt;&gt;"",Basics!$H$1,"")</f>
        <v/>
      </c>
      <c r="F53" t="str">
        <f>IF(A53&lt;&gt;"",Basics!$H$2,"")</f>
        <v/>
      </c>
      <c r="G53" t="str">
        <f t="shared" si="0"/>
        <v/>
      </c>
    </row>
    <row r="54" spans="1:7">
      <c r="A54" s="8"/>
      <c r="B54" t="str">
        <f>IF(A54&lt;&gt;"",_xlfn.XLOOKUP(A54, Basics!F45:F125, Basics!D45:D125) &amp; "-A","")</f>
        <v/>
      </c>
      <c r="C54" t="str">
        <f>IF(A54&lt;&gt;"",Basics!$B$1 &amp; " " &amp; 'AddOn CheckList'!A54 &amp; " automated","")</f>
        <v/>
      </c>
      <c r="D54" t="str">
        <f>IF(A54&lt;&gt;"",_xlfn.XLOOKUP(A54, Basics!F45:F125, Basics!E45:E125) &amp; "-A","")</f>
        <v/>
      </c>
      <c r="E54" t="str">
        <f>IF(A54&lt;&gt;"",Basics!$H$1,"")</f>
        <v/>
      </c>
      <c r="F54" t="str">
        <f>IF(A54&lt;&gt;"",Basics!$H$2,"")</f>
        <v/>
      </c>
      <c r="G54" t="str">
        <f t="shared" si="0"/>
        <v/>
      </c>
    </row>
    <row r="55" spans="1:7">
      <c r="A55" s="8"/>
      <c r="B55" t="str">
        <f>IF(A55&lt;&gt;"",_xlfn.XLOOKUP(A55, Basics!F46:F126, Basics!D46:D126) &amp; "-A","")</f>
        <v/>
      </c>
      <c r="C55" t="str">
        <f>IF(A55&lt;&gt;"",Basics!$B$1 &amp; " " &amp; 'AddOn CheckList'!A55 &amp; " automated","")</f>
        <v/>
      </c>
      <c r="D55" t="str">
        <f>IF(A55&lt;&gt;"",_xlfn.XLOOKUP(A55, Basics!F46:F126, Basics!E46:E126) &amp; "-A","")</f>
        <v/>
      </c>
      <c r="E55" t="str">
        <f>IF(A55&lt;&gt;"",Basics!$H$1,"")</f>
        <v/>
      </c>
      <c r="F55" t="str">
        <f>IF(A55&lt;&gt;"",Basics!$H$2,"")</f>
        <v/>
      </c>
      <c r="G55" t="str">
        <f t="shared" si="0"/>
        <v/>
      </c>
    </row>
    <row r="56" spans="1:7">
      <c r="A56" s="8"/>
      <c r="B56" t="str">
        <f>IF(A56&lt;&gt;"",_xlfn.XLOOKUP(A56, Basics!F47:F127, Basics!D47:D127) &amp; "-A","")</f>
        <v/>
      </c>
      <c r="C56" t="str">
        <f>IF(A56&lt;&gt;"",Basics!$B$1 &amp; " " &amp; 'AddOn CheckList'!A56 &amp; " automated","")</f>
        <v/>
      </c>
      <c r="D56" t="str">
        <f>IF(A56&lt;&gt;"",_xlfn.XLOOKUP(A56, Basics!F47:F127, Basics!E47:E127) &amp; "-A","")</f>
        <v/>
      </c>
      <c r="E56" t="str">
        <f>IF(A56&lt;&gt;"",Basics!$H$1,"")</f>
        <v/>
      </c>
      <c r="F56" t="str">
        <f>IF(A56&lt;&gt;"",Basics!$H$2,"")</f>
        <v/>
      </c>
      <c r="G56" t="str">
        <f t="shared" si="0"/>
        <v/>
      </c>
    </row>
    <row r="57" spans="1:7">
      <c r="A57" s="8"/>
      <c r="B57" t="str">
        <f>IF(A57&lt;&gt;"",_xlfn.XLOOKUP(A57, Basics!F48:F128, Basics!D48:D128) &amp; "-A","")</f>
        <v/>
      </c>
      <c r="C57" t="str">
        <f>IF(A57&lt;&gt;"",Basics!$B$1 &amp; " " &amp; 'AddOn CheckList'!A57 &amp; " automated","")</f>
        <v/>
      </c>
      <c r="D57" t="str">
        <f>IF(A57&lt;&gt;"",_xlfn.XLOOKUP(A57, Basics!F48:F128, Basics!E48:E128) &amp; "-A","")</f>
        <v/>
      </c>
      <c r="E57" t="str">
        <f>IF(A57&lt;&gt;"",Basics!$H$1,"")</f>
        <v/>
      </c>
      <c r="F57" t="str">
        <f>IF(A57&lt;&gt;"",Basics!$H$2,"")</f>
        <v/>
      </c>
      <c r="G57" t="str">
        <f t="shared" si="0"/>
        <v/>
      </c>
    </row>
    <row r="58" spans="1:7">
      <c r="A58" s="8"/>
      <c r="B58" t="str">
        <f>IF(A58&lt;&gt;"",_xlfn.XLOOKUP(A58, Basics!F49:F129, Basics!D49:D129) &amp; "-A","")</f>
        <v/>
      </c>
      <c r="C58" t="str">
        <f>IF(A58&lt;&gt;"",Basics!$B$1 &amp; " " &amp; 'AddOn CheckList'!A58 &amp; " automated","")</f>
        <v/>
      </c>
      <c r="D58" t="str">
        <f>IF(A58&lt;&gt;"",_xlfn.XLOOKUP(A58, Basics!F49:F129, Basics!E49:E129) &amp; "-A","")</f>
        <v/>
      </c>
      <c r="E58" t="str">
        <f>IF(A58&lt;&gt;"",Basics!$H$1,"")</f>
        <v/>
      </c>
      <c r="F58" t="str">
        <f>IF(A58&lt;&gt;"",Basics!$H$2,"")</f>
        <v/>
      </c>
      <c r="G58" t="str">
        <f t="shared" si="0"/>
        <v/>
      </c>
    </row>
    <row r="59" spans="1:7">
      <c r="A59" s="8"/>
      <c r="B59" t="str">
        <f>IF(A59&lt;&gt;"",_xlfn.XLOOKUP(A59, Basics!F50:F130, Basics!D50:D130) &amp; "-A","")</f>
        <v/>
      </c>
      <c r="C59" t="str">
        <f>IF(A59&lt;&gt;"",Basics!$B$1 &amp; " " &amp; 'AddOn CheckList'!A59 &amp; " automated","")</f>
        <v/>
      </c>
      <c r="D59" t="str">
        <f>IF(A59&lt;&gt;"",_xlfn.XLOOKUP(A59, Basics!F50:F130, Basics!E50:E130) &amp; "-A","")</f>
        <v/>
      </c>
      <c r="E59" t="str">
        <f>IF(A59&lt;&gt;"",Basics!$H$1,"")</f>
        <v/>
      </c>
      <c r="F59" t="str">
        <f>IF(A59&lt;&gt;"",Basics!$H$2,"")</f>
        <v/>
      </c>
      <c r="G59" t="str">
        <f t="shared" si="0"/>
        <v/>
      </c>
    </row>
    <row r="60" spans="1:7">
      <c r="A60" s="8"/>
      <c r="B60" t="str">
        <f>IF(A60&lt;&gt;"",_xlfn.XLOOKUP(A60, Basics!F51:F131, Basics!D51:D131) &amp; "-A","")</f>
        <v/>
      </c>
      <c r="C60" t="str">
        <f>IF(A60&lt;&gt;"",Basics!$B$1 &amp; " " &amp; 'AddOn CheckList'!A60 &amp; " automated","")</f>
        <v/>
      </c>
      <c r="D60" t="str">
        <f>IF(A60&lt;&gt;"",_xlfn.XLOOKUP(A60, Basics!F51:F131, Basics!E51:E131) &amp; "-A","")</f>
        <v/>
      </c>
      <c r="E60" t="str">
        <f>IF(A60&lt;&gt;"",Basics!$H$1,"")</f>
        <v/>
      </c>
      <c r="F60" t="str">
        <f>IF(A60&lt;&gt;"",Basics!$H$2,"")</f>
        <v/>
      </c>
      <c r="G60" t="str">
        <f t="shared" si="0"/>
        <v/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1798-10B0-4CA7-B3A5-83D00D987A71}">
  <dimension ref="A1:I13"/>
  <sheetViews>
    <sheetView workbookViewId="0">
      <selection activeCell="G5" sqref="G5"/>
    </sheetView>
  </sheetViews>
  <sheetFormatPr baseColWidth="10" defaultRowHeight="13.7"/>
  <cols>
    <col min="1" max="1" width="27.33203125" bestFit="1" customWidth="1"/>
    <col min="3" max="3" width="18.88671875" bestFit="1" customWidth="1"/>
    <col min="4" max="4" width="12.109375" bestFit="1" customWidth="1"/>
    <col min="5" max="5" width="11" bestFit="1" customWidth="1"/>
    <col min="6" max="6" width="18.109375" bestFit="1" customWidth="1"/>
    <col min="7" max="7" width="24.6640625" bestFit="1" customWidth="1"/>
  </cols>
  <sheetData>
    <row r="1" spans="1:9" s="1" customFormat="1">
      <c r="A1" s="1" t="s">
        <v>3</v>
      </c>
      <c r="B1" s="1" t="s">
        <v>5</v>
      </c>
      <c r="C1" t="s">
        <v>6</v>
      </c>
      <c r="D1" s="1" t="s">
        <v>25</v>
      </c>
      <c r="E1" s="1" t="s">
        <v>32</v>
      </c>
      <c r="F1" s="1" t="s">
        <v>74</v>
      </c>
      <c r="G1" s="1" t="s">
        <v>123</v>
      </c>
    </row>
    <row r="2" spans="1:9">
      <c r="A2" t="s">
        <v>7</v>
      </c>
      <c r="B2" t="s">
        <v>12</v>
      </c>
      <c r="C2" t="s">
        <v>16</v>
      </c>
      <c r="D2" t="s">
        <v>131</v>
      </c>
      <c r="E2" t="s">
        <v>12</v>
      </c>
      <c r="F2" t="s">
        <v>75</v>
      </c>
      <c r="G2">
        <v>10</v>
      </c>
      <c r="I2" t="s">
        <v>167</v>
      </c>
    </row>
    <row r="3" spans="1:9">
      <c r="A3" t="s">
        <v>8</v>
      </c>
      <c r="B3" t="s">
        <v>13</v>
      </c>
      <c r="C3" t="s">
        <v>17</v>
      </c>
      <c r="D3" t="s">
        <v>132</v>
      </c>
      <c r="E3" t="s">
        <v>33</v>
      </c>
      <c r="F3" t="s">
        <v>104</v>
      </c>
      <c r="I3" t="s">
        <v>168</v>
      </c>
    </row>
    <row r="4" spans="1:9">
      <c r="A4" t="s">
        <v>9</v>
      </c>
      <c r="B4" t="s">
        <v>14</v>
      </c>
      <c r="C4" t="s">
        <v>18</v>
      </c>
      <c r="D4" t="s">
        <v>27</v>
      </c>
      <c r="E4" t="s">
        <v>34</v>
      </c>
      <c r="I4" s="29"/>
    </row>
    <row r="5" spans="1:9" ht="177.7">
      <c r="A5" t="s">
        <v>11</v>
      </c>
      <c r="B5" t="s">
        <v>15</v>
      </c>
      <c r="C5" t="s">
        <v>19</v>
      </c>
      <c r="D5" t="s">
        <v>28</v>
      </c>
      <c r="E5" t="s">
        <v>35</v>
      </c>
      <c r="I5" s="29" t="s">
        <v>169</v>
      </c>
    </row>
    <row r="6" spans="1:9">
      <c r="A6" t="s">
        <v>10</v>
      </c>
      <c r="C6" t="s">
        <v>20</v>
      </c>
      <c r="D6" t="s">
        <v>29</v>
      </c>
      <c r="E6" t="s">
        <v>119</v>
      </c>
    </row>
    <row r="7" spans="1:9">
      <c r="A7" t="s">
        <v>43</v>
      </c>
      <c r="C7" t="s">
        <v>21</v>
      </c>
      <c r="D7" t="s">
        <v>30</v>
      </c>
    </row>
    <row r="8" spans="1:9">
      <c r="A8" t="s">
        <v>129</v>
      </c>
      <c r="C8" t="s">
        <v>46</v>
      </c>
      <c r="D8" t="s">
        <v>31</v>
      </c>
    </row>
    <row r="9" spans="1:9">
      <c r="A9" t="s">
        <v>44</v>
      </c>
      <c r="C9" t="s">
        <v>65</v>
      </c>
    </row>
    <row r="10" spans="1:9">
      <c r="A10" t="s">
        <v>140</v>
      </c>
      <c r="C10" t="s">
        <v>66</v>
      </c>
    </row>
    <row r="11" spans="1:9">
      <c r="A11" t="s">
        <v>141</v>
      </c>
    </row>
    <row r="12" spans="1:9">
      <c r="A12" t="s">
        <v>45</v>
      </c>
    </row>
    <row r="13" spans="1:9">
      <c r="A13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Basics</vt:lpstr>
      <vt:lpstr>SamplePrep</vt:lpstr>
      <vt:lpstr>Dilutions</vt:lpstr>
      <vt:lpstr>Analytes</vt:lpstr>
      <vt:lpstr>AddOn CheckList</vt:lpstr>
      <vt:lpstr>Hidden_Lists</vt:lpstr>
    </vt:vector>
  </TitlesOfParts>
  <Company>Chromsystems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Horstmann Marco</dc:creator>
  <cp:lastModifiedBy>Marco Horstmann</cp:lastModifiedBy>
  <dcterms:created xsi:type="dcterms:W3CDTF">2026-03-04T13:22:26Z</dcterms:created>
  <dcterms:modified xsi:type="dcterms:W3CDTF">2026-03-11T12:54:18Z</dcterms:modified>
</cp:coreProperties>
</file>